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1" sheetId="1" r:id="rId4"/>
  </sheets>
  <definedNames/>
  <calcPr/>
  <extLst>
    <ext uri="GoogleSheetsCustomDataVersion2">
      <go:sheetsCustomData xmlns:go="http://customooxmlschemas.google.com/" r:id="rId5" roundtripDataChecksum="ZgzbRIptFrde4lt2EJA/9AL01UvpXnLxzZVLCwGGMSk="/>
    </ext>
  </extLst>
</workbook>
</file>

<file path=xl/sharedStrings.xml><?xml version="1.0" encoding="utf-8"?>
<sst xmlns="http://schemas.openxmlformats.org/spreadsheetml/2006/main" count="22" uniqueCount="22">
  <si>
    <t>Control del Sprint 1</t>
  </si>
  <si>
    <t>Ejemplo1</t>
  </si>
  <si>
    <t>Historias de Usuario o Spike</t>
  </si>
  <si>
    <t>horas estimadas</t>
  </si>
  <si>
    <t>DIA</t>
  </si>
  <si>
    <t>Total</t>
  </si>
  <si>
    <t>HU-01</t>
  </si>
  <si>
    <t>Como usuario final quiero seleccionar un escenario de práctica</t>
  </si>
  <si>
    <t>HU-02</t>
  </si>
  <si>
    <t>Como usuario final quiero dar mi consentimiento para ser grabado</t>
  </si>
  <si>
    <t>HU-03</t>
  </si>
  <si>
    <t>Como usuario final quiero comprobar mi cámara, micrófono e iluminación antes de comenzar</t>
  </si>
  <si>
    <t>HU-04</t>
  </si>
  <si>
    <t>Como usuario final quiero realizar una entrevista simulada con un entrevistador de IA.</t>
  </si>
  <si>
    <t>HU-05</t>
  </si>
  <si>
    <t>Como usuario final quiero responder preguntas y repreguntas durante la simulación</t>
  </si>
  <si>
    <t>HU-06</t>
  </si>
  <si>
    <t>Como usuario final quiero recibir un informe de mi desempeño al finalizar la sesión.</t>
  </si>
  <si>
    <t>HU-07</t>
  </si>
  <si>
    <t>Como usuario final quiero conocer mi evaluación en expresión, tono de voz, coherencia y empatía.</t>
  </si>
  <si>
    <t>Reales de producto por realizar</t>
  </si>
  <si>
    <t>Estimadas de producto por realizar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</si>
</sst>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6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/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1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/>
    </xf>
    <xf borderId="3" fillId="0" fontId="3" numFmtId="0" xfId="0" applyAlignment="1" applyBorder="1" applyFont="1">
      <alignment horizontal="center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2" fillId="0" fontId="3" numFmtId="0" xfId="0" applyBorder="1" applyFont="1"/>
    <xf borderId="7" fillId="0" fontId="4" numFmtId="0" xfId="0" applyBorder="1" applyFont="1"/>
    <xf borderId="1" fillId="2" fontId="3" numFmtId="0" xfId="0" applyAlignment="1" applyBorder="1" applyFill="1" applyFont="1">
      <alignment readingOrder="0" shrinkToFit="0" vertical="top" wrapText="1"/>
    </xf>
    <xf borderId="8" fillId="0" fontId="3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readingOrder="0"/>
    </xf>
    <xf borderId="1" fillId="0" fontId="3" numFmtId="0" xfId="0" applyBorder="1" applyFont="1"/>
    <xf borderId="3" fillId="0" fontId="3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shrinkToFit="0" wrapText="1"/>
    </xf>
    <xf borderId="0" fillId="0" fontId="3" numFmtId="0" xfId="0" applyFont="1"/>
    <xf borderId="0" fillId="0" fontId="3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"/>
              </a:defRPr>
            </a:pPr>
            <a:r>
              <a:rPr b="0" i="0" sz="2000">
                <a:solidFill>
                  <a:srgbClr val="757575"/>
                </a:solidFill>
                <a:latin typeface="Calibri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'Sprint 1'!$D$4:$W$4</c:f>
            </c:strRef>
          </c:cat>
          <c:val>
            <c:numRef>
              <c:f>'Sprint 1'!$D$5:$W$5</c:f>
              <c:numCache/>
            </c:numRef>
          </c:val>
          <c:smooth val="0"/>
        </c:ser>
        <c:ser>
          <c:idx val="1"/>
          <c:order val="1"/>
          <c:tx>
            <c:v>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'Sprint 1'!$D$4:$W$4</c:f>
            </c:strRef>
          </c:cat>
          <c:val>
            <c:numRef>
              <c:f>'Sprint 1'!$D$6:$W$6</c:f>
              <c:numCache/>
            </c:numRef>
          </c:val>
          <c:smooth val="0"/>
        </c:ser>
        <c:ser>
          <c:idx val="2"/>
          <c:order val="2"/>
          <c:tx>
            <c:strRef>
              <c:f>'Sprint 1'!$C$7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'Sprint 1'!$D$4:$W$4</c:f>
            </c:strRef>
          </c:cat>
          <c:val>
            <c:numRef>
              <c:f>'Sprint 1'!$D$7:$W$7</c:f>
              <c:numCache/>
            </c:numRef>
          </c:val>
          <c:smooth val="0"/>
        </c:ser>
        <c:ser>
          <c:idx val="3"/>
          <c:order val="3"/>
          <c:tx>
            <c:strRef>
              <c:f>'Sprint 1'!$C$8</c:f>
            </c:strRef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'Sprint 1'!$D$4:$W$4</c:f>
            </c:strRef>
          </c:cat>
          <c:val>
            <c:numRef>
              <c:f>'Sprint 1'!$D$8:$W$8</c:f>
              <c:numCache/>
            </c:numRef>
          </c:val>
          <c:smooth val="0"/>
        </c:ser>
        <c:ser>
          <c:idx val="4"/>
          <c:order val="4"/>
          <c:tx>
            <c:strRef>
              <c:f>'Sprint 1'!$C$9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'Sprint 1'!$D$4:$W$4</c:f>
            </c:strRef>
          </c:cat>
          <c:val>
            <c:numRef>
              <c:f>'Sprint 1'!$D$9:$W$9</c:f>
              <c:numCache/>
            </c:numRef>
          </c:val>
          <c:smooth val="0"/>
        </c:ser>
        <c:ser>
          <c:idx val="5"/>
          <c:order val="5"/>
          <c:tx>
            <c:strRef>
              <c:f>'Sprint 1'!$C$10</c:f>
            </c:strRef>
          </c:tx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cat>
            <c:strRef>
              <c:f>'Sprint 1'!$D$4:$W$4</c:f>
            </c:strRef>
          </c:cat>
          <c:val>
            <c:numRef>
              <c:f>'Sprint 1'!$D$10:$W$10</c:f>
              <c:numCache/>
            </c:numRef>
          </c:val>
          <c:smooth val="0"/>
        </c:ser>
        <c:ser>
          <c:idx val="6"/>
          <c:order val="6"/>
          <c:tx>
            <c:strRef>
              <c:f>'Sprint 1'!$C$11</c:f>
            </c:strRef>
          </c:tx>
          <c:spPr>
            <a:ln cmpd="sng">
              <a:solidFill>
                <a:srgbClr val="8CB9E2"/>
              </a:solidFill>
            </a:ln>
          </c:spPr>
          <c:marker>
            <c:symbol val="none"/>
          </c:marker>
          <c:cat>
            <c:strRef>
              <c:f>'Sprint 1'!$D$4:$W$4</c:f>
            </c:strRef>
          </c:cat>
          <c:val>
            <c:numRef>
              <c:f>'Sprint 1'!$D$11:$W$11</c:f>
              <c:numCache/>
            </c:numRef>
          </c:val>
          <c:smooth val="0"/>
        </c:ser>
        <c:ser>
          <c:idx val="7"/>
          <c:order val="7"/>
          <c:tx>
            <c:strRef>
              <c:f>'Sprint 1'!$B$12</c:f>
            </c:strRef>
          </c:tx>
          <c:spPr>
            <a:ln cmpd="sng">
              <a:solidFill>
                <a:srgbClr val="F2A46F"/>
              </a:solidFill>
            </a:ln>
          </c:spPr>
          <c:marker>
            <c:symbol val="none"/>
          </c:marker>
          <c:cat>
            <c:strRef>
              <c:f>'Sprint 1'!$D$4:$W$4</c:f>
            </c:strRef>
          </c:cat>
          <c:val>
            <c:numRef>
              <c:f>'Sprint 1'!$C$12:$W$12</c:f>
              <c:numCache/>
            </c:numRef>
          </c:val>
          <c:smooth val="0"/>
        </c:ser>
        <c:ser>
          <c:idx val="8"/>
          <c:order val="8"/>
          <c:tx>
            <c:strRef>
              <c:f>'Sprint 1'!$B$14</c:f>
            </c:strRef>
          </c:tx>
          <c:spPr>
            <a:ln cmpd="sng">
              <a:solidFill>
                <a:srgbClr val="C0C0C0"/>
              </a:solidFill>
            </a:ln>
          </c:spPr>
          <c:marker>
            <c:symbol val="none"/>
          </c:marker>
          <c:cat>
            <c:strRef>
              <c:f>'Sprint 1'!$D$4:$W$4</c:f>
            </c:strRef>
          </c:cat>
          <c:val>
            <c:numRef>
              <c:f>'Sprint 1'!$C$14:$W$14</c:f>
              <c:numCache/>
            </c:numRef>
          </c:val>
          <c:smooth val="0"/>
        </c:ser>
        <c:axId val="2136611686"/>
        <c:axId val="897493518"/>
      </c:lineChart>
      <c:catAx>
        <c:axId val="21366116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97493518"/>
      </c:catAx>
      <c:valAx>
        <c:axId val="8974935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36611686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161925</xdr:colOff>
      <xdr:row>1</xdr:row>
      <xdr:rowOff>142875</xdr:rowOff>
    </xdr:from>
    <xdr:ext cx="3524250" cy="3257550"/>
    <xdr:graphicFrame>
      <xdr:nvGraphicFramePr>
        <xdr:cNvPr id="114664333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25.43"/>
    <col customWidth="1" min="3" max="3" width="17.0"/>
    <col customWidth="1" min="4" max="4" width="5.86"/>
    <col customWidth="1" min="5" max="5" width="5.57"/>
    <col customWidth="1" min="6" max="6" width="5.71"/>
    <col customWidth="1" min="7" max="7" width="3.43"/>
    <col customWidth="1" min="8" max="8" width="6.0"/>
    <col customWidth="1" min="9" max="9" width="3.43"/>
    <col customWidth="1" min="10" max="10" width="5.14"/>
    <col customWidth="1" min="11" max="23" width="3.43"/>
    <col customWidth="1" min="24" max="30" width="10.71"/>
  </cols>
  <sheetData>
    <row r="1">
      <c r="A1" s="1"/>
      <c r="B1" s="1" t="s">
        <v>0</v>
      </c>
      <c r="C1" s="2" t="s">
        <v>1</v>
      </c>
    </row>
    <row r="3">
      <c r="A3" s="3"/>
      <c r="B3" s="4" t="s">
        <v>2</v>
      </c>
      <c r="C3" s="4" t="s">
        <v>3</v>
      </c>
      <c r="D3" s="5" t="s">
        <v>4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7"/>
      <c r="X3" s="4" t="s">
        <v>5</v>
      </c>
    </row>
    <row r="4">
      <c r="A4" s="3"/>
      <c r="B4" s="8"/>
      <c r="C4" s="8"/>
      <c r="D4" s="9">
        <v>1.0</v>
      </c>
      <c r="E4" s="9">
        <v>2.0</v>
      </c>
      <c r="F4" s="9">
        <v>3.0</v>
      </c>
      <c r="G4" s="9">
        <v>4.0</v>
      </c>
      <c r="H4" s="9">
        <v>5.0</v>
      </c>
      <c r="I4" s="9">
        <v>6.0</v>
      </c>
      <c r="J4" s="9">
        <v>7.0</v>
      </c>
      <c r="K4" s="9">
        <v>8.0</v>
      </c>
      <c r="L4" s="9">
        <v>9.0</v>
      </c>
      <c r="M4" s="9">
        <v>10.0</v>
      </c>
      <c r="N4" s="9">
        <v>11.0</v>
      </c>
      <c r="O4" s="9">
        <v>12.0</v>
      </c>
      <c r="P4" s="9">
        <v>13.0</v>
      </c>
      <c r="Q4" s="9">
        <v>14.0</v>
      </c>
      <c r="R4" s="9">
        <v>15.0</v>
      </c>
      <c r="S4" s="9">
        <v>16.0</v>
      </c>
      <c r="T4" s="9">
        <v>17.0</v>
      </c>
      <c r="U4" s="9">
        <v>18.0</v>
      </c>
      <c r="V4" s="9">
        <v>19.0</v>
      </c>
      <c r="W4" s="9">
        <v>20.0</v>
      </c>
      <c r="X4" s="10"/>
    </row>
    <row r="5">
      <c r="A5" s="11" t="s">
        <v>6</v>
      </c>
      <c r="B5" s="11" t="s">
        <v>7</v>
      </c>
      <c r="C5" s="12">
        <v>17.0</v>
      </c>
      <c r="D5" s="13">
        <v>8.0</v>
      </c>
      <c r="E5" s="13">
        <v>8.0</v>
      </c>
      <c r="F5" s="13">
        <v>1.0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4"/>
      <c r="T5" s="14"/>
      <c r="U5" s="14"/>
      <c r="V5" s="14"/>
      <c r="W5" s="14"/>
      <c r="X5" s="14">
        <f t="shared" ref="X5:X11" si="1">SUM(D5:W5)</f>
        <v>17</v>
      </c>
    </row>
    <row r="6">
      <c r="A6" s="11" t="s">
        <v>8</v>
      </c>
      <c r="B6" s="11" t="s">
        <v>9</v>
      </c>
      <c r="C6" s="15">
        <v>19.0</v>
      </c>
      <c r="D6" s="13"/>
      <c r="E6" s="13"/>
      <c r="F6" s="13">
        <v>7.0</v>
      </c>
      <c r="G6" s="13">
        <v>8.0</v>
      </c>
      <c r="H6" s="13">
        <v>4.0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4"/>
      <c r="T6" s="14"/>
      <c r="U6" s="14"/>
      <c r="V6" s="14"/>
      <c r="W6" s="14"/>
      <c r="X6" s="14">
        <f t="shared" si="1"/>
        <v>19</v>
      </c>
    </row>
    <row r="7">
      <c r="A7" s="11" t="s">
        <v>10</v>
      </c>
      <c r="B7" s="11" t="s">
        <v>11</v>
      </c>
      <c r="C7" s="15">
        <v>29.0</v>
      </c>
      <c r="D7" s="13"/>
      <c r="E7" s="13"/>
      <c r="F7" s="13"/>
      <c r="G7" s="13"/>
      <c r="H7" s="13">
        <v>4.0</v>
      </c>
      <c r="I7" s="13">
        <v>8.0</v>
      </c>
      <c r="J7" s="13">
        <v>8.0</v>
      </c>
      <c r="K7" s="13">
        <v>8.0</v>
      </c>
      <c r="L7" s="13">
        <v>1.0</v>
      </c>
      <c r="M7" s="13"/>
      <c r="N7" s="13"/>
      <c r="O7" s="13"/>
      <c r="P7" s="13"/>
      <c r="Q7" s="13"/>
      <c r="R7" s="13"/>
      <c r="S7" s="14"/>
      <c r="T7" s="14"/>
      <c r="U7" s="14"/>
      <c r="V7" s="14"/>
      <c r="W7" s="14"/>
      <c r="X7" s="14">
        <f t="shared" si="1"/>
        <v>29</v>
      </c>
    </row>
    <row r="8">
      <c r="A8" s="11" t="s">
        <v>12</v>
      </c>
      <c r="B8" s="11" t="s">
        <v>13</v>
      </c>
      <c r="C8" s="15">
        <v>12.0</v>
      </c>
      <c r="D8" s="13"/>
      <c r="E8" s="13"/>
      <c r="F8" s="13"/>
      <c r="G8" s="13"/>
      <c r="H8" s="13"/>
      <c r="I8" s="13"/>
      <c r="J8" s="13"/>
      <c r="K8" s="13"/>
      <c r="L8" s="13">
        <v>7.0</v>
      </c>
      <c r="M8" s="13">
        <v>5.0</v>
      </c>
      <c r="N8" s="13"/>
      <c r="O8" s="13"/>
      <c r="P8" s="13"/>
      <c r="Q8" s="13"/>
      <c r="R8" s="13"/>
      <c r="S8" s="14"/>
      <c r="T8" s="14"/>
      <c r="U8" s="14"/>
      <c r="V8" s="14"/>
      <c r="W8" s="14"/>
      <c r="X8" s="14">
        <f t="shared" si="1"/>
        <v>12</v>
      </c>
    </row>
    <row r="9">
      <c r="A9" s="11" t="s">
        <v>14</v>
      </c>
      <c r="B9" s="11" t="s">
        <v>15</v>
      </c>
      <c r="C9" s="15">
        <v>15.0</v>
      </c>
      <c r="D9" s="13"/>
      <c r="E9" s="13"/>
      <c r="F9" s="13"/>
      <c r="G9" s="13"/>
      <c r="H9" s="13"/>
      <c r="I9" s="13"/>
      <c r="J9" s="13"/>
      <c r="K9" s="13"/>
      <c r="L9" s="13"/>
      <c r="M9" s="13">
        <v>3.0</v>
      </c>
      <c r="N9" s="13">
        <v>8.0</v>
      </c>
      <c r="O9" s="13">
        <v>4.0</v>
      </c>
      <c r="P9" s="13"/>
      <c r="Q9" s="13"/>
      <c r="R9" s="13"/>
      <c r="S9" s="14"/>
      <c r="T9" s="14"/>
      <c r="U9" s="14"/>
      <c r="V9" s="14"/>
      <c r="W9" s="14"/>
      <c r="X9" s="14">
        <f t="shared" si="1"/>
        <v>15</v>
      </c>
    </row>
    <row r="10">
      <c r="A10" s="11" t="s">
        <v>16</v>
      </c>
      <c r="B10" s="11" t="s">
        <v>17</v>
      </c>
      <c r="C10" s="15">
        <v>13.0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>
        <v>4.0</v>
      </c>
      <c r="P10" s="13">
        <v>8.0</v>
      </c>
      <c r="Q10" s="13">
        <v>1.0</v>
      </c>
      <c r="R10" s="13"/>
      <c r="S10" s="14"/>
      <c r="T10" s="14"/>
      <c r="U10" s="14"/>
      <c r="V10" s="14"/>
      <c r="W10" s="14"/>
      <c r="X10" s="14">
        <f t="shared" si="1"/>
        <v>13</v>
      </c>
    </row>
    <row r="11">
      <c r="A11" s="11" t="s">
        <v>18</v>
      </c>
      <c r="B11" s="11" t="s">
        <v>19</v>
      </c>
      <c r="C11" s="16">
        <v>15.0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>
        <v>7.0</v>
      </c>
      <c r="R11" s="13">
        <v>8.0</v>
      </c>
      <c r="S11" s="14"/>
      <c r="T11" s="14"/>
      <c r="U11" s="14"/>
      <c r="V11" s="14"/>
      <c r="W11" s="14"/>
      <c r="X11" s="14">
        <f t="shared" si="1"/>
        <v>15</v>
      </c>
    </row>
    <row r="12">
      <c r="A12" s="17"/>
      <c r="B12" s="17" t="s">
        <v>20</v>
      </c>
      <c r="C12" s="2">
        <f>SUM(C5:C11)</f>
        <v>120</v>
      </c>
      <c r="D12" s="2">
        <f t="shared" ref="D12:W12" si="2">C12-SUM(D5:D10)</f>
        <v>112</v>
      </c>
      <c r="E12" s="2">
        <f t="shared" si="2"/>
        <v>104</v>
      </c>
      <c r="F12" s="2">
        <f t="shared" si="2"/>
        <v>96</v>
      </c>
      <c r="G12" s="2">
        <f t="shared" si="2"/>
        <v>88</v>
      </c>
      <c r="H12" s="2">
        <f t="shared" si="2"/>
        <v>80</v>
      </c>
      <c r="I12" s="2">
        <f t="shared" si="2"/>
        <v>72</v>
      </c>
      <c r="J12" s="2">
        <f t="shared" si="2"/>
        <v>64</v>
      </c>
      <c r="K12" s="2">
        <f t="shared" si="2"/>
        <v>56</v>
      </c>
      <c r="L12" s="2">
        <f t="shared" si="2"/>
        <v>48</v>
      </c>
      <c r="M12" s="2">
        <f t="shared" si="2"/>
        <v>40</v>
      </c>
      <c r="N12" s="2">
        <f t="shared" si="2"/>
        <v>32</v>
      </c>
      <c r="O12" s="2">
        <f t="shared" si="2"/>
        <v>24</v>
      </c>
      <c r="P12" s="2">
        <f t="shared" si="2"/>
        <v>16</v>
      </c>
      <c r="Q12" s="2">
        <f t="shared" si="2"/>
        <v>15</v>
      </c>
      <c r="R12" s="2">
        <f t="shared" si="2"/>
        <v>15</v>
      </c>
      <c r="S12" s="2">
        <f t="shared" si="2"/>
        <v>15</v>
      </c>
      <c r="T12" s="2">
        <f t="shared" si="2"/>
        <v>15</v>
      </c>
      <c r="U12" s="2">
        <f t="shared" si="2"/>
        <v>15</v>
      </c>
      <c r="V12" s="2">
        <f t="shared" si="2"/>
        <v>15</v>
      </c>
      <c r="W12" s="2">
        <f t="shared" si="2"/>
        <v>15</v>
      </c>
    </row>
    <row r="14">
      <c r="A14" s="17"/>
      <c r="B14" s="17" t="s">
        <v>21</v>
      </c>
      <c r="C14" s="2">
        <f>SUM(C5:C10)</f>
        <v>105</v>
      </c>
      <c r="D14" s="2">
        <f t="shared" ref="D14:W14" si="3">C14-(SUM($C$5:$C$10)/20)</f>
        <v>99.75</v>
      </c>
      <c r="E14" s="2">
        <f t="shared" si="3"/>
        <v>94.5</v>
      </c>
      <c r="F14" s="2">
        <f t="shared" si="3"/>
        <v>89.25</v>
      </c>
      <c r="G14" s="2">
        <f t="shared" si="3"/>
        <v>84</v>
      </c>
      <c r="H14" s="2">
        <f t="shared" si="3"/>
        <v>78.75</v>
      </c>
      <c r="I14" s="2">
        <f t="shared" si="3"/>
        <v>73.5</v>
      </c>
      <c r="J14" s="2">
        <f t="shared" si="3"/>
        <v>68.25</v>
      </c>
      <c r="K14" s="2">
        <f t="shared" si="3"/>
        <v>63</v>
      </c>
      <c r="L14" s="2">
        <f t="shared" si="3"/>
        <v>57.75</v>
      </c>
      <c r="M14" s="2">
        <f t="shared" si="3"/>
        <v>52.5</v>
      </c>
      <c r="N14" s="2">
        <f t="shared" si="3"/>
        <v>47.25</v>
      </c>
      <c r="O14" s="2">
        <f t="shared" si="3"/>
        <v>42</v>
      </c>
      <c r="P14" s="2">
        <f t="shared" si="3"/>
        <v>36.75</v>
      </c>
      <c r="Q14" s="2">
        <f t="shared" si="3"/>
        <v>31.5</v>
      </c>
      <c r="R14" s="2">
        <f t="shared" si="3"/>
        <v>26.25</v>
      </c>
      <c r="S14" s="2">
        <f t="shared" si="3"/>
        <v>21</v>
      </c>
      <c r="T14" s="2">
        <f t="shared" si="3"/>
        <v>15.75</v>
      </c>
      <c r="U14" s="2">
        <f t="shared" si="3"/>
        <v>10.5</v>
      </c>
      <c r="V14" s="2">
        <f t="shared" si="3"/>
        <v>5.25</v>
      </c>
      <c r="W14" s="2">
        <f t="shared" si="3"/>
        <v>0</v>
      </c>
    </row>
    <row r="16">
      <c r="A16" s="18"/>
      <c r="B16" s="18"/>
      <c r="C16" s="19"/>
      <c r="D16" s="18"/>
      <c r="E16" s="18"/>
      <c r="F16" s="18"/>
      <c r="G16" s="18"/>
      <c r="H16" s="18"/>
      <c r="I16" s="18"/>
      <c r="J16" s="18"/>
    </row>
    <row r="17">
      <c r="A17" s="18"/>
      <c r="B17" s="18"/>
      <c r="C17" s="19"/>
      <c r="D17" s="18"/>
      <c r="E17" s="18"/>
      <c r="F17" s="18"/>
      <c r="G17" s="18"/>
      <c r="H17" s="19"/>
      <c r="I17" s="18"/>
      <c r="J17" s="18"/>
    </row>
    <row r="18">
      <c r="A18" s="18"/>
      <c r="B18" s="18"/>
      <c r="C18" s="19"/>
      <c r="D18" s="18"/>
      <c r="E18" s="18"/>
      <c r="F18" s="18"/>
      <c r="G18" s="18"/>
      <c r="H18" s="19"/>
      <c r="I18" s="18"/>
      <c r="J18" s="18"/>
    </row>
    <row r="19">
      <c r="A19" s="18"/>
      <c r="B19" s="18"/>
      <c r="C19" s="19"/>
      <c r="D19" s="18"/>
      <c r="E19" s="18"/>
      <c r="F19" s="18"/>
      <c r="G19" s="18"/>
      <c r="H19" s="19"/>
      <c r="I19" s="18"/>
      <c r="J19" s="18"/>
    </row>
    <row r="20">
      <c r="A20" s="18"/>
      <c r="B20" s="18"/>
      <c r="C20" s="19"/>
      <c r="D20" s="18"/>
      <c r="E20" s="18"/>
      <c r="F20" s="18"/>
      <c r="G20" s="18"/>
      <c r="H20" s="19"/>
      <c r="I20" s="18"/>
      <c r="J20" s="18"/>
    </row>
    <row r="21" ht="15.75" customHeight="1">
      <c r="A21" s="18"/>
      <c r="B21" s="18"/>
      <c r="C21" s="19"/>
      <c r="D21" s="18"/>
      <c r="E21" s="18"/>
      <c r="F21" s="18"/>
      <c r="G21" s="18"/>
      <c r="H21" s="19"/>
      <c r="I21" s="18"/>
      <c r="J21" s="18"/>
    </row>
    <row r="22" ht="15.75" customHeight="1">
      <c r="A22" s="18"/>
      <c r="B22" s="18"/>
      <c r="C22" s="19"/>
      <c r="D22" s="18"/>
      <c r="E22" s="18"/>
      <c r="F22" s="18"/>
      <c r="G22" s="18"/>
      <c r="H22" s="19"/>
      <c r="I22" s="18"/>
      <c r="J22" s="18"/>
    </row>
    <row r="23" ht="15.75" customHeight="1">
      <c r="A23" s="18"/>
      <c r="B23" s="18"/>
      <c r="C23" s="19"/>
      <c r="D23" s="18"/>
      <c r="E23" s="18"/>
      <c r="F23" s="18"/>
      <c r="G23" s="18"/>
      <c r="H23" s="18"/>
      <c r="I23" s="18"/>
      <c r="J23" s="18"/>
    </row>
    <row r="24" ht="15.75" customHeight="1">
      <c r="A24" s="18"/>
      <c r="B24" s="18"/>
      <c r="C24" s="19"/>
      <c r="D24" s="18"/>
      <c r="E24" s="18"/>
      <c r="F24" s="18"/>
      <c r="G24" s="18"/>
      <c r="H24" s="18"/>
      <c r="I24" s="18"/>
      <c r="J24" s="18"/>
    </row>
    <row r="25" ht="15.75" customHeight="1">
      <c r="A25" s="18"/>
      <c r="B25" s="18"/>
      <c r="C25" s="19"/>
      <c r="D25" s="18"/>
      <c r="E25" s="18"/>
      <c r="F25" s="18"/>
      <c r="G25" s="18"/>
      <c r="H25" s="18"/>
      <c r="I25" s="18"/>
      <c r="J25" s="1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3:B4"/>
    <mergeCell ref="C3:C4"/>
    <mergeCell ref="D3:W3"/>
    <mergeCell ref="X3:X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