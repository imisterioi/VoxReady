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1" sheetId="1" r:id="rId4"/>
    <sheet state="visible" name="Sprint Backlog 2" sheetId="2" r:id="rId5"/>
    <sheet state="visible" name="Sprint Backlog 3" sheetId="3" r:id="rId6"/>
    <sheet state="visible" name="Sprint Backlog 4" sheetId="4" r:id="rId7"/>
    <sheet state="visible" name="Instructivo" sheetId="5" r:id="rId8"/>
  </sheets>
  <definedNames/>
  <calcPr/>
  <extLst>
    <ext uri="GoogleSheetsCustomDataVersion2">
      <go:sheetsCustomData xmlns:go="http://customooxmlschemas.google.com/" r:id="rId9" roundtripDataChecksum="AU0mleUc9wWtkNWf9wJ3N+s/6aBmvFAUBS6DABqwJH0="/>
    </ext>
  </extLst>
</workbook>
</file>

<file path=xl/sharedStrings.xml><?xml version="1.0" encoding="utf-8"?>
<sst xmlns="http://schemas.openxmlformats.org/spreadsheetml/2006/main" count="680" uniqueCount="209">
  <si>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</si>
  <si>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</si>
  <si>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</si>
  <si>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</si>
  <si>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</si>
  <si>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</si>
  <si>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</si>
  <si>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</si>
  <si>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</si>
  <si>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</si>
  <si>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</si>
  <si>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</si>
  <si>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</si>
  <si>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</si>
  <si>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</si>
  <si>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</si>
  <si>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</si>
  <si>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</si>
  <si>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</si>
  <si>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</si>
  <si>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</si>
  <si>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</si>
  <si>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</si>
  <si>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</si>
  <si>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</si>
  <si>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</si>
  <si>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</si>
  <si>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</si>
  <si>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</si>
  <si>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</si>
  <si>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</si>
  <si>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</si>
  <si>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HU-08</t>
  </si>
  <si>
    <t>Como usuario final quiero recibir observaciones y recomendaciones concretas.</t>
  </si>
  <si>
    <t>Diseñar la sección del informe donde se mostrarán las observaciones y recomendaciones.</t>
  </si>
  <si>
    <t>Javiera Mateluna</t>
  </si>
  <si>
    <t>Completado</t>
  </si>
  <si>
    <t>HU-14</t>
  </si>
  <si>
    <t xml:space="preserve">Como configurador maestro Necesito definir las rúbricas de evaluación
</t>
  </si>
  <si>
    <t>Definir los criterios de las rúbricas de evaluación.</t>
  </si>
  <si>
    <t>Pendiente</t>
  </si>
  <si>
    <t>HU-01</t>
  </si>
  <si>
    <t>Como usuario final quiero seleccionar un escenario de práctica</t>
  </si>
  <si>
    <t>HU-21</t>
  </si>
  <si>
    <t>Diseñar la pantalla de selección de escenarios de práctica disponibles.</t>
  </si>
  <si>
    <t>Completada</t>
  </si>
  <si>
    <t>Como administrador del cliente Quiero definir los mensajes clave y líneas rojas de un tema.</t>
  </si>
  <si>
    <t>Diseñar la interfaz para definir los mensajes clave y líneas rojas.</t>
  </si>
  <si>
    <t>Diseñar la estructura de las rúbricas en la base de datos.</t>
  </si>
  <si>
    <t>Benjamín Vásquez</t>
  </si>
  <si>
    <t>Implementar los campos para registrar los mensajes que se deben mantener y aquello que no se debe comunicar.</t>
  </si>
  <si>
    <t>Implementar la generación de observaciones a partir de los resultados de la evaluación.</t>
  </si>
  <si>
    <t>Implementar la visualización de los temas configurados por el administrador.</t>
  </si>
  <si>
    <t>Implementar en Backend el almacenamiento de los mensajes clave y líneas rojas del tema.</t>
  </si>
  <si>
    <t>Bastián Gonzalez
Benjamín Vásquez</t>
  </si>
  <si>
    <t>Implementar la generación de recomendaciones concretas para mejorar el desempeño.</t>
  </si>
  <si>
    <t>Desarrollar el backend para crear, editar y guardar las rúbricas.</t>
  </si>
  <si>
    <t>Implementar en Backend la obtención de los escenarios asociados al cliente del usuario.</t>
  </si>
  <si>
    <t>Validar y probar la configuración de mensajes clave y líneas rojas.</t>
  </si>
  <si>
    <t>Validar y probar que las observaciones y recomendaciones se muestren correctamente.</t>
  </si>
  <si>
    <t>Realizar pruebas y validar las rúbricas de evaluación.</t>
  </si>
  <si>
    <t>Validar y probar la selección de un escenario de práctica.</t>
  </si>
  <si>
    <t>HU-09</t>
  </si>
  <si>
    <t>Como usuario final quiero consultar mi progreso a lo largo del tiempo</t>
  </si>
  <si>
    <t>HU-22</t>
  </si>
  <si>
    <t>Diseñar la interfaz del panel de progreso del usuario.</t>
  </si>
  <si>
    <t>Como administrador del cliente quiero configurar la óptica institucional.</t>
  </si>
  <si>
    <t>HU-15</t>
  </si>
  <si>
    <t>Diseñar la interfaz para configurar la óptica institucional.</t>
  </si>
  <si>
    <t xml:space="preserve">Como configurador maestro Necesito establecer los criterios para evaluar expresión, tono de voz, coherencia y empatía.
</t>
  </si>
  <si>
    <t>Definir los criterios de evaluación para cada dimensión.</t>
  </si>
  <si>
    <t>HU-02</t>
  </si>
  <si>
    <t>Como usuario final quiero dar mi consentimiento para ser grabado</t>
  </si>
  <si>
    <t>Diseñar pantalla de consentimiento para la grabación de audio y video.</t>
  </si>
  <si>
    <t>Implementar el registro de los resultados obtenidos en las sesiones de práctica.</t>
  </si>
  <si>
    <t>Implementar la selección del tono o posicionamiento institucional.</t>
  </si>
  <si>
    <t>Diseñar la estructura de los criterios en la base de datos.</t>
  </si>
  <si>
    <t>Implementar la aceptación explícita del consentimiento antes de iniciar la práctica.</t>
  </si>
  <si>
    <t>Implementar la visualización de la evolución del desempeño a lo largo del tiempo.</t>
  </si>
  <si>
    <t>Implementar en Backend el almacenamiento de la óptica institucional configurada.</t>
  </si>
  <si>
    <t>Desarrollar el backend para crear, editar y guardar los criterios.</t>
  </si>
  <si>
    <t>Validar y probar la consulta del progreso del usuario.</t>
  </si>
  <si>
    <t>Implementar en Backend el registro del consentimiento otorgado por el usuario.</t>
  </si>
  <si>
    <t>Validar y probar la configuración de la óptica institucional.</t>
  </si>
  <si>
    <t>Realizar pruebas y validar los criterios de evaluación.</t>
  </si>
  <si>
    <t>HU-10</t>
  </si>
  <si>
    <t>Como usuario final quiero recibir recomendaciones de práctica según mis debilidades</t>
  </si>
  <si>
    <t>Diseñar la sección de recomendaciones de práctica.</t>
  </si>
  <si>
    <t>Validar y probar que la grabación no pueda comenzar sin consentimiento.</t>
  </si>
  <si>
    <t>HU-23</t>
  </si>
  <si>
    <t>Como administrador del cliente quiero definir el público interno al que está dirigido cada tema.</t>
  </si>
  <si>
    <t>Diseñar la interfaz para definir el público interno del tema.</t>
  </si>
  <si>
    <t>HU-16</t>
  </si>
  <si>
    <t xml:space="preserve">Como configurador maestro Necesito revisar las evaluaciones que tengan baja confianza o puntajes límite.
</t>
  </si>
  <si>
    <t>Implementar la identificación de las áreas que requieren mejora.</t>
  </si>
  <si>
    <t>Definir las condiciones para detectar evaluaciones de baja confianza o puntajes límite.</t>
  </si>
  <si>
    <t>HU-03</t>
  </si>
  <si>
    <t>Como usuario final quiero comprobar mi cámara, micrófono e iluminación antes de comenzar</t>
  </si>
  <si>
    <t>Diseñar pantalla de comprobación técnica de cámara, micrófono e iluminación.</t>
  </si>
  <si>
    <t>Implementar la selección del segmento de público objetivo.</t>
  </si>
  <si>
    <t>Implementar la generación de recomendaciones de práctica según las debilidades detectadas.</t>
  </si>
  <si>
    <t>Desarrollar el backend para identificar y marcar evaluaciones para revisión.</t>
  </si>
  <si>
    <t>Validar y probar que las recomendaciones correspondan a los resultados del usuario.</t>
  </si>
  <si>
    <t>Implementar la comprobación de funcionamiento de la cámara y el micrófono.</t>
  </si>
  <si>
    <t>Implementar en Backend el almacenamiento del público interno asociado al tema.</t>
  </si>
  <si>
    <t>HU-11</t>
  </si>
  <si>
    <t>Como usuario final quiero repetir un escenario de práctica</t>
  </si>
  <si>
    <t>Diseñar la opción para repetir un escenario de práctica.</t>
  </si>
  <si>
    <t>Implementar en Backend el registro del resultado de la comprobación técnica.</t>
  </si>
  <si>
    <t>Desarrollar Back-End  para revisar y modificar una evaluación.</t>
  </si>
  <si>
    <t>Validar y probar la configuración del público interno del tema.</t>
  </si>
  <si>
    <t>Implementar la selección de un escenario realizado anteriormente.</t>
  </si>
  <si>
    <t>Validar y probar que la sesión pueda comenzar solo cuando la comprobación técnica sea correcta.</t>
  </si>
  <si>
    <t>HU-24</t>
  </si>
  <si>
    <t>Realizar pruebas del proceso de revisión y validación de resultados.</t>
  </si>
  <si>
    <t>Como administrador del cliente quiero configurar la política de retención de las grabaciones y métricas</t>
  </si>
  <si>
    <t>Diseñar la interfaz para configurar la política de retención.</t>
  </si>
  <si>
    <t>Implementar el inicio de una nueva sesión utilizando el escenario seleccionado.</t>
  </si>
  <si>
    <t>HU-04</t>
  </si>
  <si>
    <t>Como usuario final quiero realizar una entrevista simulada con un entrevistador de IA.</t>
  </si>
  <si>
    <t>Diseñar la interfaz de la entrevista simulada.</t>
  </si>
  <si>
    <t>Implementar la configuración del tiempo de conservación de grabaciones y métricas.</t>
  </si>
  <si>
    <t>HU-17</t>
  </si>
  <si>
    <t>Validar y probar la repetición de un escenario de práctica.</t>
  </si>
  <si>
    <t xml:space="preserve">Como configurador maestro Necesito realizar etiquetado experto sobre las grabaciones.
</t>
  </si>
  <si>
    <t>Definir las etiquetas y criterios para clasificar las grabaciones.</t>
  </si>
  <si>
    <t>Implementar en Backend la aplicación de la política de retención configurada.</t>
  </si>
  <si>
    <t>Implementar la interacción de preguntas y respuestas con el entrevistador de IA.</t>
  </si>
  <si>
    <t>HU-12</t>
  </si>
  <si>
    <t>Como usuario final quiero acceder a microlecciones sobre comunicación</t>
  </si>
  <si>
    <t>Diseñar la sección de microlecciones sobre comunicación.</t>
  </si>
  <si>
    <t>Desarrollar el backend para registrar y almacenar las etiquetas.</t>
  </si>
  <si>
    <t>Implementar el procesamiento de las respuestas durante la entrevista.</t>
  </si>
  <si>
    <t>Validar y probar la conservación y eliminación de grabaciones y métricas según la política definida.</t>
  </si>
  <si>
    <t>Implementar la visualización de las microlecciones disponibles.</t>
  </si>
  <si>
    <t>Implementar la asociación de etiquetas con las grabaciones evaluadas.</t>
  </si>
  <si>
    <t>Validar y probar el funcionamiento de la entrevista simulada.</t>
  </si>
  <si>
    <t>HU-25</t>
  </si>
  <si>
    <t>Implementar el almacenamiento y gestión de las microlecciones.</t>
  </si>
  <si>
    <t>Como administrador del cliente quiero que las grabaciones sean eliminadas o anonimizadas automáticamente al finalizar el periodo de retención.</t>
  </si>
  <si>
    <t>Diseñar la configuración de la eliminación o anonimización de las grabaciones.</t>
  </si>
  <si>
    <t>Realizar pruebas del proceso de etiquetado y almacenamiento.</t>
  </si>
  <si>
    <t>Validar y probar el acceso y visualización de las microlecciones.</t>
  </si>
  <si>
    <t>HU-05</t>
  </si>
  <si>
    <t>Como usuario final quiero responder preguntas y repreguntas durante la simulación</t>
  </si>
  <si>
    <t>Diseñar la interfaz para responder las preguntas del entrevistador de IA.</t>
  </si>
  <si>
    <t>Implementar la identificación de las grabaciones que cumplen el periodo de retención.</t>
  </si>
  <si>
    <t>HU-13</t>
  </si>
  <si>
    <t>Como configurador maestro Necesito definir el patrón maestro de evaluación.</t>
  </si>
  <si>
    <t>Diseñar la interfaz para definir el patrón maestro de evaluación.</t>
  </si>
  <si>
    <t>HU-18</t>
  </si>
  <si>
    <t xml:space="preserve">Como configurador maestro Necesito mantener un estándar común de evaluación para todos los clientes.
</t>
  </si>
  <si>
    <t>Definir los elementos del estándar que serán comunes para todos los clientes.</t>
  </si>
  <si>
    <t>Implementar la captura de las respuestas del usuario durante la simulación.</t>
  </si>
  <si>
    <t>Implementar la eliminación o anonimización automática de las grabaciones correspondientes.</t>
  </si>
  <si>
    <t>Implementar la configuración de los elementos que conforman el patrón maestro.</t>
  </si>
  <si>
    <t>Desarrollar el backend para aplicar el patrón maestro a todos los clientes.</t>
  </si>
  <si>
    <t>Implementar la generación de repreguntas según las respuestas entregadas.</t>
  </si>
  <si>
    <t>Validar y probar que las grabaciones sean eliminadas o anonimizadas al finalizar el periodo de retención.</t>
  </si>
  <si>
    <t>Implementar en Backend el almacenamiento del patrón maestro de evaluación.</t>
  </si>
  <si>
    <t>Validar y probar el flujo de preguntas, respuestas y repreguntas.</t>
  </si>
  <si>
    <t>Implementar la validación de que las evaluaciones utilicen el estándar común.</t>
  </si>
  <si>
    <t>HU-26</t>
  </si>
  <si>
    <t>Como administrador del cliente quiero decidir si se conserva el video completo o solamente las métricas derivadas.</t>
  </si>
  <si>
    <t>Diseñar la interfaz para seleccionar qué información conservar.</t>
  </si>
  <si>
    <t>Validar y probar la creación y configuración del patrón maestro.</t>
  </si>
  <si>
    <t>HU-06</t>
  </si>
  <si>
    <t>Como usuario final quiero recibir un informe de mi desempeño al finalizar la sesión.</t>
  </si>
  <si>
    <t>Diseñar la interfaz del informe de desempeño.</t>
  </si>
  <si>
    <t>Realizar pruebas con distintos clientes para verificar la aplicación del estándar.</t>
  </si>
  <si>
    <t>Total horas</t>
  </si>
  <si>
    <t>Implementar la opción de conservar el video completo o solamente las métricas derivadas.</t>
  </si>
  <si>
    <t>Implementar la generación del informe al finalizar la sesión.</t>
  </si>
  <si>
    <t>HU-19</t>
  </si>
  <si>
    <t xml:space="preserve">Como administrador del cliente Necesito crear temas de práctica..
</t>
  </si>
  <si>
    <t>Diseñar formulario para crear el tema de práctica.</t>
  </si>
  <si>
    <t>Implementar en Backend la aplicación de la opción seleccionada para la conservación de datos.</t>
  </si>
  <si>
    <t>Implementar la visualización de los resultados de expresión, tono de voz, coherencia y empatía.</t>
  </si>
  <si>
    <t>Implementar los campos de contexto, mensajes clave, líneas rojas, óptica institucional y público objetivo.</t>
  </si>
  <si>
    <t>Validar y probar que se conserve únicamente la información seleccionada.</t>
  </si>
  <si>
    <t>Validar y probar la generación y visualización del informe.</t>
  </si>
  <si>
    <t>Implementar en Backend la creación y almacenamiento del tema de práctica.</t>
  </si>
  <si>
    <t>HU-07</t>
  </si>
  <si>
    <t>Como usuario final quiero conocer mi evaluación en expresión, tono de voz, coherencia y empatía.</t>
  </si>
  <si>
    <t>Diseñar la interfaz para mostrar la evaluación de las cuatro áreas.</t>
  </si>
  <si>
    <t>Validar y probar la creación del tema de práctica.</t>
  </si>
  <si>
    <t>Implementar el procesamiento de la evaluación de expresión, tono de voz, coherencia y empatía.</t>
  </si>
  <si>
    <t>Implementar la visualización de los resultados obtenidos en cada área.</t>
  </si>
  <si>
    <t>HU-20</t>
  </si>
  <si>
    <t>Como administrador del cliente Necesito configurar el contexto de un tema.</t>
  </si>
  <si>
    <t>Validar y probar que los resultados de las cuatro áreas se muestren correctamente.</t>
  </si>
  <si>
    <t>Diseñar formulario para configurar el contexto del tema.</t>
  </si>
  <si>
    <t>Implementar los campos de sector, tipo de crisis y escenario.</t>
  </si>
  <si>
    <t>Implementar en Backend el almacenamiento del contexto configurado.</t>
  </si>
  <si>
    <t>Validar y probar la configuración del contexto del tema.</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</si>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</sst>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Arial"/>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
      <color theme="1"/>
      <name val="Calibri"/>
    </font>
    <font>
      <color theme="1"/>
      <name val="Arial"/>
      <scheme val="minor"/>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
      <patternFill patternType="solid">
        <fgColor rgb="FFF9CB9C"/>
        <bgColor rgb="FFF9CB9C"/>
      </patternFill>
    </fill>
  </fills>
  <borders count="20">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top/>
      <bottom/>
    </border>
    <border>
      <left/>
      <top/>
    </border>
    <border>
      <left/>
      <right/>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right/>
      <top/>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ill="1" applyFont="1">
      <alignment horizontal="center" shrinkToFit="0" vertical="center" wrapText="1"/>
    </xf>
    <xf borderId="5" fillId="3" fontId="4" numFmtId="0" xfId="0" applyAlignment="1" applyBorder="1" applyFill="1" applyFont="1">
      <alignment horizontal="center" shrinkToFit="0" vertical="center" wrapText="1"/>
    </xf>
    <xf borderId="6" fillId="3" fontId="4" numFmtId="0" xfId="0" applyAlignment="1" applyBorder="1" applyFill="1" applyFont="1">
      <alignment horizontal="center" shrinkToFit="0" vertical="center" wrapText="1"/>
    </xf>
    <xf borderId="7" fillId="2" fontId="1" numFmtId="0" xfId="0" applyAlignment="1" applyBorder="1" applyFill="1" applyFont="1">
      <alignment horizontal="left" readingOrder="0" shrinkToFit="0" vertical="top" wrapText="1"/>
    </xf>
    <xf borderId="5" fillId="3" fontId="6" numFmtId="0" xfId="0" applyAlignment="1" applyBorder="1" applyFill="1" applyFont="1">
      <alignment horizontal="center" readingOrder="0" shrinkToFit="0" vertical="center" wrapText="1"/>
    </xf>
    <xf borderId="5" fillId="2" fontId="1" numFmtId="0" xfId="0" applyAlignment="1" applyBorder="1" applyFill="1" applyFont="1">
      <alignment horizontal="left" readingOrder="0" shrinkToFit="0" vertical="top" wrapText="1"/>
    </xf>
    <xf borderId="5" fillId="2" fontId="1" numFmtId="0" xfId="0" applyAlignment="1" applyBorder="1" applyFill="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8" fillId="0" fontId="5" numFmtId="0" xfId="0" applyBorder="1" applyFont="1"/>
    <xf borderId="9" fillId="0" fontId="5" numFmtId="0" xfId="0" applyBorder="1" applyFont="1"/>
    <xf borderId="10" fillId="2" fontId="1" numFmtId="0" xfId="0" applyBorder="1" applyFill="1" applyFont="1"/>
    <xf borderId="5" fillId="0" fontId="7" numFmtId="0" xfId="0" applyAlignment="1" applyBorder="1" applyFont="1">
      <alignment readingOrder="0" shrinkToFit="0" wrapText="1"/>
    </xf>
    <xf borderId="0" fillId="0" fontId="7" numFmtId="0" xfId="0" applyAlignment="1" applyFont="1">
      <alignment readingOrder="0" shrinkToFit="0" wrapText="1"/>
    </xf>
    <xf borderId="0" fillId="0" fontId="7" numFmtId="0" xfId="0" applyAlignment="1" applyFont="1">
      <alignment readingOrder="0" shrinkToFit="0" vertical="center" wrapText="1"/>
    </xf>
    <xf borderId="5" fillId="2" fontId="1" numFmtId="0" xfId="0" applyAlignment="1" applyBorder="1" applyFill="1" applyFont="1">
      <alignment horizontal="left" readingOrder="0" shrinkToFit="0" vertical="center" wrapText="1"/>
    </xf>
    <xf borderId="5" fillId="0" fontId="7" numFmtId="0" xfId="0" applyAlignment="1" applyBorder="1" applyFont="1">
      <alignment readingOrder="0" shrinkToFit="0" vertical="center" wrapText="1"/>
    </xf>
    <xf borderId="11" fillId="2" fontId="1" numFmtId="0" xfId="0" applyBorder="1" applyFill="1" applyFont="1"/>
    <xf borderId="12" fillId="2" fontId="1" numFmtId="0" xfId="0" applyBorder="1" applyFill="1" applyFont="1"/>
    <xf borderId="13" fillId="6" fontId="8" numFmtId="0" xfId="0" applyAlignment="1" applyBorder="1" applyFill="1" applyFont="1">
      <alignment horizontal="center" readingOrder="0" vertical="center"/>
    </xf>
    <xf borderId="14" fillId="0" fontId="5" numFmtId="0" xfId="0" applyBorder="1" applyFont="1"/>
    <xf borderId="15" fillId="0" fontId="5" numFmtId="0" xfId="0" applyBorder="1" applyFont="1"/>
    <xf borderId="7" fillId="6" fontId="1" numFmtId="0" xfId="0" applyBorder="1" applyFill="1" applyFont="1"/>
    <xf borderId="16" fillId="0" fontId="5" numFmtId="0" xfId="0" applyBorder="1" applyFont="1"/>
    <xf borderId="17" fillId="0" fontId="5" numFmtId="0" xfId="0" applyBorder="1" applyFont="1"/>
    <xf borderId="18" fillId="0" fontId="5" numFmtId="0" xfId="0" applyBorder="1" applyFont="1"/>
    <xf borderId="5" fillId="2" fontId="1" numFmtId="0" xfId="0" applyBorder="1" applyFill="1" applyFont="1"/>
    <xf borderId="19" fillId="2" fontId="1" numFmtId="0" xfId="0" applyBorder="1" applyFill="1" applyFont="1"/>
    <xf borderId="5" fillId="3" fontId="4" numFmtId="0" xfId="0" applyBorder="1" applyFill="1" applyFont="1"/>
    <xf borderId="5" fillId="2" fontId="1"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9" t="s">
        <v>41</v>
      </c>
      <c r="C6" s="9" t="s">
        <v>42</v>
      </c>
      <c r="D6" s="11" t="s">
        <v>44</v>
      </c>
      <c r="E6" s="11" t="s">
        <v>35</v>
      </c>
      <c r="F6" s="11" t="s">
        <v>45</v>
      </c>
      <c r="G6" s="11">
        <v>3.0</v>
      </c>
      <c r="H6" s="12"/>
      <c r="I6" s="12">
        <f t="shared" ref="I6:I29" si="1">G6-H6</f>
        <v>3</v>
      </c>
      <c r="J6" s="13"/>
      <c r="K6" s="12"/>
      <c r="L6" s="12">
        <f t="shared" ref="L6:L29" si="2">I6-K6</f>
        <v>3</v>
      </c>
      <c r="M6" s="13"/>
      <c r="N6" s="12"/>
      <c r="O6" s="12">
        <f t="shared" ref="O6:O29" si="3">L6-N6</f>
        <v>3</v>
      </c>
      <c r="P6" s="13"/>
      <c r="Q6" s="12"/>
      <c r="R6" s="12">
        <f t="shared" ref="R6:R29" si="4">O6-Q6</f>
        <v>3</v>
      </c>
      <c r="S6" s="13"/>
      <c r="T6" s="12"/>
      <c r="U6" s="12">
        <f t="shared" ref="U6:U29" si="5">R6-T6</f>
        <v>3</v>
      </c>
      <c r="V6" s="13"/>
      <c r="W6" s="12"/>
      <c r="X6" s="12">
        <f t="shared" ref="X6:X29" si="6">U6-W6</f>
        <v>3</v>
      </c>
      <c r="Y6" s="13"/>
      <c r="Z6" s="12"/>
      <c r="AA6" s="12">
        <f t="shared" ref="AA6:AA29" si="7">X6-Z6</f>
        <v>3</v>
      </c>
      <c r="AB6" s="13"/>
      <c r="AC6" s="12"/>
      <c r="AD6" s="12">
        <f t="shared" ref="AD6:AD29" si="8">AA6-AC6</f>
        <v>3</v>
      </c>
      <c r="AE6" s="13"/>
      <c r="AF6" s="12"/>
      <c r="AG6" s="12">
        <f t="shared" ref="AG6:AG29" si="9">AD6-AF6</f>
        <v>3</v>
      </c>
      <c r="AH6" s="13"/>
      <c r="AI6" s="12"/>
      <c r="AJ6" s="12">
        <f t="shared" ref="AJ6:AJ29" si="10">AG6-AI6</f>
        <v>3</v>
      </c>
      <c r="AK6" s="13"/>
      <c r="AL6" s="12"/>
      <c r="AM6" s="12">
        <f t="shared" ref="AM6:AM29" si="11">AJ6-AL6</f>
        <v>3</v>
      </c>
      <c r="AN6" s="13"/>
      <c r="AO6" s="12"/>
      <c r="AP6" s="12">
        <f t="shared" ref="AP6:AP29" si="12">AM6-AO6</f>
        <v>3</v>
      </c>
      <c r="AQ6" s="13"/>
      <c r="AR6" s="12"/>
      <c r="AS6" s="12">
        <f t="shared" ref="AS6:AS29" si="13">AP6-AR6</f>
        <v>3</v>
      </c>
      <c r="AT6" s="13"/>
      <c r="AU6" s="12"/>
      <c r="AV6" s="12">
        <f t="shared" ref="AV6:AV29" si="14">AS6-AU6</f>
        <v>3</v>
      </c>
      <c r="AW6" s="13"/>
      <c r="AX6" s="12"/>
      <c r="AY6" s="12">
        <f t="shared" ref="AY6:AY29" si="15">AV6-AX6</f>
        <v>3</v>
      </c>
      <c r="AZ6" s="13"/>
      <c r="BA6" s="12"/>
      <c r="BB6" s="12">
        <f t="shared" ref="BB6:BB29" si="16">AY6-BA6</f>
        <v>3</v>
      </c>
      <c r="BC6" s="13"/>
      <c r="BD6" s="12"/>
      <c r="BE6" s="12">
        <f t="shared" ref="BE6:BE29" si="17">BB6-BD6</f>
        <v>3</v>
      </c>
      <c r="BF6" s="13"/>
      <c r="BG6" s="12"/>
      <c r="BH6" s="12">
        <f t="shared" ref="BH6:BH29" si="18">BE6-BG6</f>
        <v>3</v>
      </c>
      <c r="BI6" s="13"/>
      <c r="BJ6" s="12"/>
      <c r="BK6" s="12">
        <f t="shared" ref="BK6:BK29" si="19">BH6-BJ6</f>
        <v>3</v>
      </c>
      <c r="BL6" s="13"/>
      <c r="BM6" s="12"/>
      <c r="BN6" s="12">
        <f t="shared" ref="BN6:BN29" si="20">BK6-BM6</f>
        <v>3</v>
      </c>
      <c r="BO6" s="13"/>
      <c r="BP6" s="14">
        <f t="shared" ref="BP6:BP29" si="21">H6+K6+N6+Q6+T6+W6+Z6+AC6+AF6+AI6+AL6+AO6+AR6+AU6+AX6+BA6+BD6+BG6+BJ6+BM6</f>
        <v>0</v>
      </c>
      <c r="BQ6" s="14">
        <f t="shared" ref="BQ6:BQ29" si="22">G6-BP6</f>
        <v>3</v>
      </c>
    </row>
    <row r="7">
      <c r="A7" s="1"/>
      <c r="B7" s="15"/>
      <c r="C7" s="15"/>
      <c r="D7" s="11" t="s">
        <v>52</v>
      </c>
      <c r="E7" s="11" t="s">
        <v>49</v>
      </c>
      <c r="F7" s="11" t="s">
        <v>45</v>
      </c>
      <c r="G7" s="11">
        <v>2.0</v>
      </c>
      <c r="H7" s="12"/>
      <c r="I7" s="12">
        <f t="shared" si="1"/>
        <v>2</v>
      </c>
      <c r="J7" s="13"/>
      <c r="K7" s="12"/>
      <c r="L7" s="12">
        <f t="shared" si="2"/>
        <v>2</v>
      </c>
      <c r="M7" s="13"/>
      <c r="N7" s="12"/>
      <c r="O7" s="12">
        <f t="shared" si="3"/>
        <v>2</v>
      </c>
      <c r="P7" s="13"/>
      <c r="Q7" s="12"/>
      <c r="R7" s="12">
        <f t="shared" si="4"/>
        <v>2</v>
      </c>
      <c r="S7" s="13"/>
      <c r="T7" s="12"/>
      <c r="U7" s="12">
        <f t="shared" si="5"/>
        <v>2</v>
      </c>
      <c r="V7" s="13"/>
      <c r="W7" s="12"/>
      <c r="X7" s="12">
        <f t="shared" si="6"/>
        <v>2</v>
      </c>
      <c r="Y7" s="13"/>
      <c r="Z7" s="12"/>
      <c r="AA7" s="12">
        <f t="shared" si="7"/>
        <v>2</v>
      </c>
      <c r="AB7" s="13"/>
      <c r="AC7" s="12"/>
      <c r="AD7" s="12">
        <f t="shared" si="8"/>
        <v>2</v>
      </c>
      <c r="AE7" s="13"/>
      <c r="AF7" s="12"/>
      <c r="AG7" s="12">
        <f t="shared" si="9"/>
        <v>2</v>
      </c>
      <c r="AH7" s="13"/>
      <c r="AI7" s="12"/>
      <c r="AJ7" s="12">
        <f t="shared" si="10"/>
        <v>2</v>
      </c>
      <c r="AK7" s="13"/>
      <c r="AL7" s="12"/>
      <c r="AM7" s="12">
        <f t="shared" si="11"/>
        <v>2</v>
      </c>
      <c r="AN7" s="13"/>
      <c r="AO7" s="12"/>
      <c r="AP7" s="12">
        <f t="shared" si="12"/>
        <v>2</v>
      </c>
      <c r="AQ7" s="13"/>
      <c r="AR7" s="12"/>
      <c r="AS7" s="12">
        <f t="shared" si="13"/>
        <v>2</v>
      </c>
      <c r="AT7" s="13"/>
      <c r="AU7" s="12"/>
      <c r="AV7" s="12">
        <f t="shared" si="14"/>
        <v>2</v>
      </c>
      <c r="AW7" s="13"/>
      <c r="AX7" s="12"/>
      <c r="AY7" s="12">
        <f t="shared" si="15"/>
        <v>2</v>
      </c>
      <c r="AZ7" s="13"/>
      <c r="BA7" s="12"/>
      <c r="BB7" s="12">
        <f t="shared" si="16"/>
        <v>2</v>
      </c>
      <c r="BC7" s="13"/>
      <c r="BD7" s="12"/>
      <c r="BE7" s="12">
        <f t="shared" si="17"/>
        <v>2</v>
      </c>
      <c r="BF7" s="13"/>
      <c r="BG7" s="12"/>
      <c r="BH7" s="12">
        <f t="shared" si="18"/>
        <v>2</v>
      </c>
      <c r="BI7" s="13"/>
      <c r="BJ7" s="12"/>
      <c r="BK7" s="12">
        <f t="shared" si="19"/>
        <v>2</v>
      </c>
      <c r="BL7" s="13"/>
      <c r="BM7" s="12"/>
      <c r="BN7" s="12">
        <f t="shared" si="20"/>
        <v>2</v>
      </c>
      <c r="BO7" s="13"/>
      <c r="BP7" s="14">
        <f t="shared" si="21"/>
        <v>0</v>
      </c>
      <c r="BQ7" s="14">
        <f t="shared" si="22"/>
        <v>2</v>
      </c>
    </row>
    <row r="8">
      <c r="A8" s="1"/>
      <c r="B8" s="15"/>
      <c r="C8" s="15"/>
      <c r="D8" s="11" t="s">
        <v>57</v>
      </c>
      <c r="E8" s="11" t="s">
        <v>54</v>
      </c>
      <c r="F8" s="11" t="s">
        <v>45</v>
      </c>
      <c r="G8" s="11">
        <v>8.0</v>
      </c>
      <c r="H8" s="12"/>
      <c r="I8" s="12">
        <f t="shared" si="1"/>
        <v>8</v>
      </c>
      <c r="J8" s="13"/>
      <c r="K8" s="12"/>
      <c r="L8" s="12">
        <f t="shared" si="2"/>
        <v>8</v>
      </c>
      <c r="M8" s="13"/>
      <c r="N8" s="12"/>
      <c r="O8" s="12">
        <f t="shared" si="3"/>
        <v>8</v>
      </c>
      <c r="P8" s="13"/>
      <c r="Q8" s="12"/>
      <c r="R8" s="12">
        <f t="shared" si="4"/>
        <v>8</v>
      </c>
      <c r="S8" s="13"/>
      <c r="T8" s="12"/>
      <c r="U8" s="12">
        <f t="shared" si="5"/>
        <v>8</v>
      </c>
      <c r="V8" s="13"/>
      <c r="W8" s="12"/>
      <c r="X8" s="12">
        <f t="shared" si="6"/>
        <v>8</v>
      </c>
      <c r="Y8" s="13"/>
      <c r="Z8" s="12"/>
      <c r="AA8" s="12">
        <f t="shared" si="7"/>
        <v>8</v>
      </c>
      <c r="AB8" s="13"/>
      <c r="AC8" s="12"/>
      <c r="AD8" s="12">
        <f t="shared" si="8"/>
        <v>8</v>
      </c>
      <c r="AE8" s="13"/>
      <c r="AF8" s="12"/>
      <c r="AG8" s="12">
        <f t="shared" si="9"/>
        <v>8</v>
      </c>
      <c r="AH8" s="13"/>
      <c r="AI8" s="12"/>
      <c r="AJ8" s="12">
        <f t="shared" si="10"/>
        <v>8</v>
      </c>
      <c r="AK8" s="13"/>
      <c r="AL8" s="12"/>
      <c r="AM8" s="12">
        <f t="shared" si="11"/>
        <v>8</v>
      </c>
      <c r="AN8" s="13"/>
      <c r="AO8" s="12"/>
      <c r="AP8" s="12">
        <f t="shared" si="12"/>
        <v>8</v>
      </c>
      <c r="AQ8" s="13"/>
      <c r="AR8" s="12"/>
      <c r="AS8" s="12">
        <f t="shared" si="13"/>
        <v>8</v>
      </c>
      <c r="AT8" s="13"/>
      <c r="AU8" s="12"/>
      <c r="AV8" s="12">
        <f t="shared" si="14"/>
        <v>8</v>
      </c>
      <c r="AW8" s="13"/>
      <c r="AX8" s="12"/>
      <c r="AY8" s="12">
        <f t="shared" si="15"/>
        <v>8</v>
      </c>
      <c r="AZ8" s="13"/>
      <c r="BA8" s="12"/>
      <c r="BB8" s="12">
        <f t="shared" si="16"/>
        <v>8</v>
      </c>
      <c r="BC8" s="13"/>
      <c r="BD8" s="12"/>
      <c r="BE8" s="12">
        <f t="shared" si="17"/>
        <v>8</v>
      </c>
      <c r="BF8" s="13"/>
      <c r="BG8" s="12"/>
      <c r="BH8" s="12">
        <f t="shared" si="18"/>
        <v>8</v>
      </c>
      <c r="BI8" s="13"/>
      <c r="BJ8" s="12"/>
      <c r="BK8" s="12">
        <f t="shared" si="19"/>
        <v>8</v>
      </c>
      <c r="BL8" s="13"/>
      <c r="BM8" s="12"/>
      <c r="BN8" s="12">
        <f t="shared" si="20"/>
        <v>8</v>
      </c>
      <c r="BO8" s="13"/>
      <c r="BP8" s="14">
        <f t="shared" si="21"/>
        <v>0</v>
      </c>
      <c r="BQ8" s="14">
        <f t="shared" si="22"/>
        <v>8</v>
      </c>
    </row>
    <row r="9">
      <c r="A9" s="1"/>
      <c r="B9" s="16"/>
      <c r="C9" s="16"/>
      <c r="D9" s="11" t="s">
        <v>61</v>
      </c>
      <c r="E9" s="11" t="s">
        <v>35</v>
      </c>
      <c r="F9" s="11" t="s">
        <v>45</v>
      </c>
      <c r="G9" s="11">
        <v>4.0</v>
      </c>
      <c r="H9" s="12"/>
      <c r="I9" s="12">
        <f t="shared" si="1"/>
        <v>4</v>
      </c>
      <c r="J9" s="13"/>
      <c r="K9" s="12"/>
      <c r="L9" s="12">
        <f t="shared" si="2"/>
        <v>4</v>
      </c>
      <c r="M9" s="13"/>
      <c r="N9" s="12"/>
      <c r="O9" s="12">
        <f t="shared" si="3"/>
        <v>4</v>
      </c>
      <c r="P9" s="13"/>
      <c r="Q9" s="12"/>
      <c r="R9" s="12">
        <f t="shared" si="4"/>
        <v>4</v>
      </c>
      <c r="S9" s="13"/>
      <c r="T9" s="12"/>
      <c r="U9" s="12">
        <f t="shared" si="5"/>
        <v>4</v>
      </c>
      <c r="V9" s="13"/>
      <c r="W9" s="12"/>
      <c r="X9" s="12">
        <f t="shared" si="6"/>
        <v>4</v>
      </c>
      <c r="Y9" s="13"/>
      <c r="Z9" s="12"/>
      <c r="AA9" s="12">
        <f t="shared" si="7"/>
        <v>4</v>
      </c>
      <c r="AB9" s="13"/>
      <c r="AC9" s="12"/>
      <c r="AD9" s="12">
        <f t="shared" si="8"/>
        <v>4</v>
      </c>
      <c r="AE9" s="13"/>
      <c r="AF9" s="12"/>
      <c r="AG9" s="12">
        <f t="shared" si="9"/>
        <v>4</v>
      </c>
      <c r="AH9" s="13"/>
      <c r="AI9" s="12"/>
      <c r="AJ9" s="12">
        <f t="shared" si="10"/>
        <v>4</v>
      </c>
      <c r="AK9" s="13"/>
      <c r="AL9" s="12"/>
      <c r="AM9" s="12">
        <f t="shared" si="11"/>
        <v>4</v>
      </c>
      <c r="AN9" s="13"/>
      <c r="AO9" s="12"/>
      <c r="AP9" s="12">
        <f t="shared" si="12"/>
        <v>4</v>
      </c>
      <c r="AQ9" s="13"/>
      <c r="AR9" s="12"/>
      <c r="AS9" s="12">
        <f t="shared" si="13"/>
        <v>4</v>
      </c>
      <c r="AT9" s="13"/>
      <c r="AU9" s="12"/>
      <c r="AV9" s="12">
        <f t="shared" si="14"/>
        <v>4</v>
      </c>
      <c r="AW9" s="13"/>
      <c r="AX9" s="12"/>
      <c r="AY9" s="12">
        <f t="shared" si="15"/>
        <v>4</v>
      </c>
      <c r="AZ9" s="13"/>
      <c r="BA9" s="12"/>
      <c r="BB9" s="12">
        <f t="shared" si="16"/>
        <v>4</v>
      </c>
      <c r="BC9" s="13"/>
      <c r="BD9" s="12"/>
      <c r="BE9" s="12">
        <f t="shared" si="17"/>
        <v>4</v>
      </c>
      <c r="BF9" s="13"/>
      <c r="BG9" s="12"/>
      <c r="BH9" s="12">
        <f t="shared" si="18"/>
        <v>4</v>
      </c>
      <c r="BI9" s="13"/>
      <c r="BJ9" s="12"/>
      <c r="BK9" s="12">
        <f t="shared" si="19"/>
        <v>4</v>
      </c>
      <c r="BL9" s="13"/>
      <c r="BM9" s="12"/>
      <c r="BN9" s="12">
        <f t="shared" si="20"/>
        <v>4</v>
      </c>
      <c r="BO9" s="13"/>
      <c r="BP9" s="14">
        <f t="shared" si="21"/>
        <v>0</v>
      </c>
      <c r="BQ9" s="14">
        <f t="shared" si="22"/>
        <v>4</v>
      </c>
    </row>
    <row r="10">
      <c r="A10" s="17"/>
      <c r="B10" s="9" t="s">
        <v>71</v>
      </c>
      <c r="C10" s="9" t="s">
        <v>72</v>
      </c>
      <c r="D10" s="18" t="s">
        <v>73</v>
      </c>
      <c r="E10" s="11" t="s">
        <v>35</v>
      </c>
      <c r="F10" s="11" t="s">
        <v>45</v>
      </c>
      <c r="G10" s="11">
        <v>3.0</v>
      </c>
      <c r="H10" s="12"/>
      <c r="I10" s="12">
        <f t="shared" si="1"/>
        <v>3</v>
      </c>
      <c r="J10" s="13"/>
      <c r="K10" s="12"/>
      <c r="L10" s="12">
        <f t="shared" si="2"/>
        <v>3</v>
      </c>
      <c r="M10" s="13"/>
      <c r="N10" s="12"/>
      <c r="O10" s="12">
        <f t="shared" si="3"/>
        <v>3</v>
      </c>
      <c r="P10" s="13"/>
      <c r="Q10" s="12"/>
      <c r="R10" s="12">
        <f t="shared" si="4"/>
        <v>3</v>
      </c>
      <c r="S10" s="13"/>
      <c r="T10" s="12"/>
      <c r="U10" s="12">
        <f t="shared" si="5"/>
        <v>3</v>
      </c>
      <c r="V10" s="13"/>
      <c r="W10" s="12"/>
      <c r="X10" s="12">
        <f t="shared" si="6"/>
        <v>3</v>
      </c>
      <c r="Y10" s="13"/>
      <c r="Z10" s="12"/>
      <c r="AA10" s="12">
        <f t="shared" si="7"/>
        <v>3</v>
      </c>
      <c r="AB10" s="13"/>
      <c r="AC10" s="12"/>
      <c r="AD10" s="12">
        <f t="shared" si="8"/>
        <v>3</v>
      </c>
      <c r="AE10" s="13"/>
      <c r="AF10" s="12"/>
      <c r="AG10" s="12">
        <f t="shared" si="9"/>
        <v>3</v>
      </c>
      <c r="AH10" s="13"/>
      <c r="AI10" s="12"/>
      <c r="AJ10" s="12">
        <f t="shared" si="10"/>
        <v>3</v>
      </c>
      <c r="AK10" s="13"/>
      <c r="AL10" s="12"/>
      <c r="AM10" s="12">
        <f t="shared" si="11"/>
        <v>3</v>
      </c>
      <c r="AN10" s="13"/>
      <c r="AO10" s="12"/>
      <c r="AP10" s="12">
        <f t="shared" si="12"/>
        <v>3</v>
      </c>
      <c r="AQ10" s="13"/>
      <c r="AR10" s="12"/>
      <c r="AS10" s="12">
        <f t="shared" si="13"/>
        <v>3</v>
      </c>
      <c r="AT10" s="13"/>
      <c r="AU10" s="12"/>
      <c r="AV10" s="12">
        <f t="shared" si="14"/>
        <v>3</v>
      </c>
      <c r="AW10" s="13"/>
      <c r="AX10" s="12"/>
      <c r="AY10" s="12">
        <f t="shared" si="15"/>
        <v>3</v>
      </c>
      <c r="AZ10" s="13"/>
      <c r="BA10" s="12"/>
      <c r="BB10" s="12">
        <f t="shared" si="16"/>
        <v>3</v>
      </c>
      <c r="BC10" s="13"/>
      <c r="BD10" s="12"/>
      <c r="BE10" s="12">
        <f t="shared" si="17"/>
        <v>3</v>
      </c>
      <c r="BF10" s="13"/>
      <c r="BG10" s="12"/>
      <c r="BH10" s="12">
        <f t="shared" si="18"/>
        <v>3</v>
      </c>
      <c r="BI10" s="13"/>
      <c r="BJ10" s="12"/>
      <c r="BK10" s="12">
        <f t="shared" si="19"/>
        <v>3</v>
      </c>
      <c r="BL10" s="13"/>
      <c r="BM10" s="12"/>
      <c r="BN10" s="12">
        <f t="shared" si="20"/>
        <v>3</v>
      </c>
      <c r="BO10" s="13"/>
      <c r="BP10" s="14">
        <f t="shared" si="21"/>
        <v>0</v>
      </c>
      <c r="BQ10" s="14">
        <f t="shared" si="22"/>
        <v>3</v>
      </c>
    </row>
    <row r="11">
      <c r="A11" s="17"/>
      <c r="B11" s="15"/>
      <c r="C11" s="15"/>
      <c r="D11" s="19" t="s">
        <v>77</v>
      </c>
      <c r="E11" s="11" t="s">
        <v>49</v>
      </c>
      <c r="F11" s="11" t="s">
        <v>45</v>
      </c>
      <c r="G11" s="11">
        <v>5.0</v>
      </c>
      <c r="H11" s="12"/>
      <c r="I11" s="12">
        <f t="shared" si="1"/>
        <v>5</v>
      </c>
      <c r="J11" s="13"/>
      <c r="K11" s="12"/>
      <c r="L11" s="12">
        <f t="shared" si="2"/>
        <v>5</v>
      </c>
      <c r="M11" s="13"/>
      <c r="N11" s="12"/>
      <c r="O11" s="12">
        <f t="shared" si="3"/>
        <v>5</v>
      </c>
      <c r="P11" s="13"/>
      <c r="Q11" s="12"/>
      <c r="R11" s="12">
        <f t="shared" si="4"/>
        <v>5</v>
      </c>
      <c r="S11" s="13"/>
      <c r="T11" s="12"/>
      <c r="U11" s="12">
        <f t="shared" si="5"/>
        <v>5</v>
      </c>
      <c r="V11" s="13"/>
      <c r="W11" s="12"/>
      <c r="X11" s="12">
        <f t="shared" si="6"/>
        <v>5</v>
      </c>
      <c r="Y11" s="13"/>
      <c r="Z11" s="12"/>
      <c r="AA11" s="12">
        <f t="shared" si="7"/>
        <v>5</v>
      </c>
      <c r="AB11" s="13"/>
      <c r="AC11" s="12"/>
      <c r="AD11" s="12">
        <f t="shared" si="8"/>
        <v>5</v>
      </c>
      <c r="AE11" s="13"/>
      <c r="AF11" s="12"/>
      <c r="AG11" s="12">
        <f t="shared" si="9"/>
        <v>5</v>
      </c>
      <c r="AH11" s="13"/>
      <c r="AI11" s="12"/>
      <c r="AJ11" s="12">
        <f t="shared" si="10"/>
        <v>5</v>
      </c>
      <c r="AK11" s="13"/>
      <c r="AL11" s="12"/>
      <c r="AM11" s="12">
        <f t="shared" si="11"/>
        <v>5</v>
      </c>
      <c r="AN11" s="13"/>
      <c r="AO11" s="12"/>
      <c r="AP11" s="12">
        <f t="shared" si="12"/>
        <v>5</v>
      </c>
      <c r="AQ11" s="13"/>
      <c r="AR11" s="12"/>
      <c r="AS11" s="12">
        <f t="shared" si="13"/>
        <v>5</v>
      </c>
      <c r="AT11" s="13"/>
      <c r="AU11" s="12"/>
      <c r="AV11" s="12">
        <f t="shared" si="14"/>
        <v>5</v>
      </c>
      <c r="AW11" s="13"/>
      <c r="AX11" s="12"/>
      <c r="AY11" s="12">
        <f t="shared" si="15"/>
        <v>5</v>
      </c>
      <c r="AZ11" s="13"/>
      <c r="BA11" s="12"/>
      <c r="BB11" s="12">
        <f t="shared" si="16"/>
        <v>5</v>
      </c>
      <c r="BC11" s="13"/>
      <c r="BD11" s="12"/>
      <c r="BE11" s="12">
        <f t="shared" si="17"/>
        <v>5</v>
      </c>
      <c r="BF11" s="13"/>
      <c r="BG11" s="12"/>
      <c r="BH11" s="12">
        <f t="shared" si="18"/>
        <v>5</v>
      </c>
      <c r="BI11" s="13"/>
      <c r="BJ11" s="12"/>
      <c r="BK11" s="12">
        <f t="shared" si="19"/>
        <v>5</v>
      </c>
      <c r="BL11" s="13"/>
      <c r="BM11" s="12"/>
      <c r="BN11" s="12">
        <f t="shared" si="20"/>
        <v>5</v>
      </c>
      <c r="BO11" s="13"/>
      <c r="BP11" s="14">
        <f t="shared" si="21"/>
        <v>0</v>
      </c>
      <c r="BQ11" s="14">
        <f t="shared" si="22"/>
        <v>5</v>
      </c>
    </row>
    <row r="12">
      <c r="A12" s="17"/>
      <c r="B12" s="15"/>
      <c r="C12" s="15"/>
      <c r="D12" s="11" t="s">
        <v>82</v>
      </c>
      <c r="E12" s="11" t="s">
        <v>54</v>
      </c>
      <c r="F12" s="11" t="s">
        <v>45</v>
      </c>
      <c r="G12" s="11">
        <v>9.0</v>
      </c>
      <c r="H12" s="12"/>
      <c r="I12" s="12">
        <f t="shared" si="1"/>
        <v>9</v>
      </c>
      <c r="J12" s="13"/>
      <c r="K12" s="12"/>
      <c r="L12" s="12">
        <f t="shared" si="2"/>
        <v>9</v>
      </c>
      <c r="M12" s="13"/>
      <c r="N12" s="12"/>
      <c r="O12" s="12">
        <f t="shared" si="3"/>
        <v>9</v>
      </c>
      <c r="P12" s="13"/>
      <c r="Q12" s="12"/>
      <c r="R12" s="12">
        <f t="shared" si="4"/>
        <v>9</v>
      </c>
      <c r="S12" s="13"/>
      <c r="T12" s="12"/>
      <c r="U12" s="12">
        <f t="shared" si="5"/>
        <v>9</v>
      </c>
      <c r="V12" s="13"/>
      <c r="W12" s="12"/>
      <c r="X12" s="12">
        <f t="shared" si="6"/>
        <v>9</v>
      </c>
      <c r="Y12" s="13"/>
      <c r="Z12" s="12"/>
      <c r="AA12" s="12">
        <f t="shared" si="7"/>
        <v>9</v>
      </c>
      <c r="AB12" s="13"/>
      <c r="AC12" s="12"/>
      <c r="AD12" s="12">
        <f t="shared" si="8"/>
        <v>9</v>
      </c>
      <c r="AE12" s="13"/>
      <c r="AF12" s="12"/>
      <c r="AG12" s="12">
        <f t="shared" si="9"/>
        <v>9</v>
      </c>
      <c r="AH12" s="13"/>
      <c r="AI12" s="12"/>
      <c r="AJ12" s="12">
        <f t="shared" si="10"/>
        <v>9</v>
      </c>
      <c r="AK12" s="13"/>
      <c r="AL12" s="12"/>
      <c r="AM12" s="12">
        <f t="shared" si="11"/>
        <v>9</v>
      </c>
      <c r="AN12" s="13"/>
      <c r="AO12" s="12"/>
      <c r="AP12" s="12">
        <f t="shared" si="12"/>
        <v>9</v>
      </c>
      <c r="AQ12" s="13"/>
      <c r="AR12" s="12"/>
      <c r="AS12" s="12">
        <f t="shared" si="13"/>
        <v>9</v>
      </c>
      <c r="AT12" s="13"/>
      <c r="AU12" s="12"/>
      <c r="AV12" s="12">
        <f t="shared" si="14"/>
        <v>9</v>
      </c>
      <c r="AW12" s="13"/>
      <c r="AX12" s="12"/>
      <c r="AY12" s="12">
        <f t="shared" si="15"/>
        <v>9</v>
      </c>
      <c r="AZ12" s="13"/>
      <c r="BA12" s="12"/>
      <c r="BB12" s="12">
        <f t="shared" si="16"/>
        <v>9</v>
      </c>
      <c r="BC12" s="13"/>
      <c r="BD12" s="12"/>
      <c r="BE12" s="12">
        <f t="shared" si="17"/>
        <v>9</v>
      </c>
      <c r="BF12" s="13"/>
      <c r="BG12" s="12"/>
      <c r="BH12" s="12">
        <f t="shared" si="18"/>
        <v>9</v>
      </c>
      <c r="BI12" s="13"/>
      <c r="BJ12" s="12"/>
      <c r="BK12" s="12">
        <f t="shared" si="19"/>
        <v>9</v>
      </c>
      <c r="BL12" s="13"/>
      <c r="BM12" s="12"/>
      <c r="BN12" s="12">
        <f t="shared" si="20"/>
        <v>9</v>
      </c>
      <c r="BO12" s="13"/>
      <c r="BP12" s="14">
        <f t="shared" si="21"/>
        <v>0</v>
      </c>
      <c r="BQ12" s="14">
        <f t="shared" si="22"/>
        <v>9</v>
      </c>
    </row>
    <row r="13">
      <c r="A13" s="17"/>
      <c r="B13" s="16"/>
      <c r="C13" s="16"/>
      <c r="D13" s="11" t="s">
        <v>88</v>
      </c>
      <c r="E13" s="11" t="s">
        <v>35</v>
      </c>
      <c r="F13" s="11" t="s">
        <v>45</v>
      </c>
      <c r="G13" s="11">
        <v>2.0</v>
      </c>
      <c r="H13" s="12"/>
      <c r="I13" s="12">
        <f t="shared" si="1"/>
        <v>2</v>
      </c>
      <c r="J13" s="13"/>
      <c r="K13" s="12"/>
      <c r="L13" s="12">
        <f t="shared" si="2"/>
        <v>2</v>
      </c>
      <c r="M13" s="13"/>
      <c r="N13" s="12"/>
      <c r="O13" s="12">
        <f t="shared" si="3"/>
        <v>2</v>
      </c>
      <c r="P13" s="13"/>
      <c r="Q13" s="12"/>
      <c r="R13" s="12">
        <f t="shared" si="4"/>
        <v>2</v>
      </c>
      <c r="S13" s="13"/>
      <c r="T13" s="12"/>
      <c r="U13" s="12">
        <f t="shared" si="5"/>
        <v>2</v>
      </c>
      <c r="V13" s="13"/>
      <c r="W13" s="12"/>
      <c r="X13" s="12">
        <f t="shared" si="6"/>
        <v>2</v>
      </c>
      <c r="Y13" s="13"/>
      <c r="Z13" s="12"/>
      <c r="AA13" s="12">
        <f t="shared" si="7"/>
        <v>2</v>
      </c>
      <c r="AB13" s="13"/>
      <c r="AC13" s="12"/>
      <c r="AD13" s="12">
        <f t="shared" si="8"/>
        <v>2</v>
      </c>
      <c r="AE13" s="13"/>
      <c r="AF13" s="12"/>
      <c r="AG13" s="12">
        <f t="shared" si="9"/>
        <v>2</v>
      </c>
      <c r="AH13" s="13"/>
      <c r="AI13" s="12"/>
      <c r="AJ13" s="12">
        <f t="shared" si="10"/>
        <v>2</v>
      </c>
      <c r="AK13" s="13"/>
      <c r="AL13" s="12"/>
      <c r="AM13" s="12">
        <f t="shared" si="11"/>
        <v>2</v>
      </c>
      <c r="AN13" s="13"/>
      <c r="AO13" s="12"/>
      <c r="AP13" s="12">
        <f t="shared" si="12"/>
        <v>2</v>
      </c>
      <c r="AQ13" s="13"/>
      <c r="AR13" s="12"/>
      <c r="AS13" s="12">
        <f t="shared" si="13"/>
        <v>2</v>
      </c>
      <c r="AT13" s="13"/>
      <c r="AU13" s="12"/>
      <c r="AV13" s="12">
        <f t="shared" si="14"/>
        <v>2</v>
      </c>
      <c r="AW13" s="13"/>
      <c r="AX13" s="12"/>
      <c r="AY13" s="12">
        <f t="shared" si="15"/>
        <v>2</v>
      </c>
      <c r="AZ13" s="13"/>
      <c r="BA13" s="12"/>
      <c r="BB13" s="12">
        <f t="shared" si="16"/>
        <v>2</v>
      </c>
      <c r="BC13" s="13"/>
      <c r="BD13" s="12"/>
      <c r="BE13" s="12">
        <f t="shared" si="17"/>
        <v>2</v>
      </c>
      <c r="BF13" s="13"/>
      <c r="BG13" s="12"/>
      <c r="BH13" s="12">
        <f t="shared" si="18"/>
        <v>2</v>
      </c>
      <c r="BI13" s="13"/>
      <c r="BJ13" s="12"/>
      <c r="BK13" s="12">
        <f t="shared" si="19"/>
        <v>2</v>
      </c>
      <c r="BL13" s="13"/>
      <c r="BM13" s="12"/>
      <c r="BN13" s="12">
        <f t="shared" si="20"/>
        <v>2</v>
      </c>
      <c r="BO13" s="13"/>
      <c r="BP13" s="14">
        <f t="shared" si="21"/>
        <v>0</v>
      </c>
      <c r="BQ13" s="14">
        <f t="shared" si="22"/>
        <v>2</v>
      </c>
    </row>
    <row r="14">
      <c r="A14" s="17"/>
      <c r="B14" s="9" t="s">
        <v>96</v>
      </c>
      <c r="C14" s="9" t="s">
        <v>97</v>
      </c>
      <c r="D14" s="20" t="s">
        <v>98</v>
      </c>
      <c r="E14" s="11" t="s">
        <v>35</v>
      </c>
      <c r="F14" s="11" t="s">
        <v>45</v>
      </c>
      <c r="G14" s="11">
        <v>1.0</v>
      </c>
      <c r="H14" s="12"/>
      <c r="I14" s="12">
        <f t="shared" si="1"/>
        <v>1</v>
      </c>
      <c r="J14" s="13"/>
      <c r="K14" s="12"/>
      <c r="L14" s="12">
        <f t="shared" si="2"/>
        <v>1</v>
      </c>
      <c r="M14" s="13"/>
      <c r="N14" s="12"/>
      <c r="O14" s="12">
        <f t="shared" si="3"/>
        <v>1</v>
      </c>
      <c r="P14" s="13"/>
      <c r="Q14" s="12"/>
      <c r="R14" s="12">
        <f t="shared" si="4"/>
        <v>1</v>
      </c>
      <c r="S14" s="13"/>
      <c r="T14" s="12"/>
      <c r="U14" s="12">
        <f t="shared" si="5"/>
        <v>1</v>
      </c>
      <c r="V14" s="13"/>
      <c r="W14" s="12"/>
      <c r="X14" s="12">
        <f t="shared" si="6"/>
        <v>1</v>
      </c>
      <c r="Y14" s="13"/>
      <c r="Z14" s="12"/>
      <c r="AA14" s="12">
        <f t="shared" si="7"/>
        <v>1</v>
      </c>
      <c r="AB14" s="13"/>
      <c r="AC14" s="12"/>
      <c r="AD14" s="12">
        <f t="shared" si="8"/>
        <v>1</v>
      </c>
      <c r="AE14" s="13"/>
      <c r="AF14" s="12"/>
      <c r="AG14" s="12">
        <f t="shared" si="9"/>
        <v>1</v>
      </c>
      <c r="AH14" s="13"/>
      <c r="AI14" s="12"/>
      <c r="AJ14" s="12">
        <f t="shared" si="10"/>
        <v>1</v>
      </c>
      <c r="AK14" s="13"/>
      <c r="AL14" s="12"/>
      <c r="AM14" s="12">
        <f t="shared" si="11"/>
        <v>1</v>
      </c>
      <c r="AN14" s="13"/>
      <c r="AO14" s="12"/>
      <c r="AP14" s="12">
        <f t="shared" si="12"/>
        <v>1</v>
      </c>
      <c r="AQ14" s="13"/>
      <c r="AR14" s="12"/>
      <c r="AS14" s="12">
        <f t="shared" si="13"/>
        <v>1</v>
      </c>
      <c r="AT14" s="13"/>
      <c r="AU14" s="12"/>
      <c r="AV14" s="12">
        <f t="shared" si="14"/>
        <v>1</v>
      </c>
      <c r="AW14" s="13"/>
      <c r="AX14" s="12"/>
      <c r="AY14" s="12">
        <f t="shared" si="15"/>
        <v>1</v>
      </c>
      <c r="AZ14" s="13"/>
      <c r="BA14" s="12"/>
      <c r="BB14" s="12">
        <f t="shared" si="16"/>
        <v>1</v>
      </c>
      <c r="BC14" s="13"/>
      <c r="BD14" s="12"/>
      <c r="BE14" s="12">
        <f t="shared" si="17"/>
        <v>1</v>
      </c>
      <c r="BF14" s="13"/>
      <c r="BG14" s="12"/>
      <c r="BH14" s="12">
        <f t="shared" si="18"/>
        <v>1</v>
      </c>
      <c r="BI14" s="13"/>
      <c r="BJ14" s="12"/>
      <c r="BK14" s="12">
        <f t="shared" si="19"/>
        <v>1</v>
      </c>
      <c r="BL14" s="13"/>
      <c r="BM14" s="12"/>
      <c r="BN14" s="12">
        <f t="shared" si="20"/>
        <v>1</v>
      </c>
      <c r="BO14" s="13"/>
      <c r="BP14" s="14">
        <f t="shared" si="21"/>
        <v>0</v>
      </c>
      <c r="BQ14" s="14">
        <f t="shared" si="22"/>
        <v>1</v>
      </c>
    </row>
    <row r="15">
      <c r="A15" s="17"/>
      <c r="B15" s="15"/>
      <c r="C15" s="15"/>
      <c r="D15" s="21" t="s">
        <v>103</v>
      </c>
      <c r="E15" s="11" t="s">
        <v>54</v>
      </c>
      <c r="F15" s="11" t="s">
        <v>45</v>
      </c>
      <c r="G15" s="11">
        <v>8.0</v>
      </c>
      <c r="H15" s="12"/>
      <c r="I15" s="12">
        <f t="shared" si="1"/>
        <v>8</v>
      </c>
      <c r="J15" s="13"/>
      <c r="K15" s="12"/>
      <c r="L15" s="12">
        <f t="shared" si="2"/>
        <v>8</v>
      </c>
      <c r="M15" s="13"/>
      <c r="N15" s="12"/>
      <c r="O15" s="12">
        <f t="shared" si="3"/>
        <v>8</v>
      </c>
      <c r="P15" s="13"/>
      <c r="Q15" s="12"/>
      <c r="R15" s="12">
        <f t="shared" si="4"/>
        <v>8</v>
      </c>
      <c r="S15" s="13"/>
      <c r="T15" s="12"/>
      <c r="U15" s="12">
        <f t="shared" si="5"/>
        <v>8</v>
      </c>
      <c r="V15" s="13"/>
      <c r="W15" s="12"/>
      <c r="X15" s="12">
        <f t="shared" si="6"/>
        <v>8</v>
      </c>
      <c r="Y15" s="13"/>
      <c r="Z15" s="12"/>
      <c r="AA15" s="12">
        <f t="shared" si="7"/>
        <v>8</v>
      </c>
      <c r="AB15" s="13"/>
      <c r="AC15" s="12"/>
      <c r="AD15" s="12">
        <f t="shared" si="8"/>
        <v>8</v>
      </c>
      <c r="AE15" s="13"/>
      <c r="AF15" s="12"/>
      <c r="AG15" s="12">
        <f t="shared" si="9"/>
        <v>8</v>
      </c>
      <c r="AH15" s="13"/>
      <c r="AI15" s="12"/>
      <c r="AJ15" s="12">
        <f t="shared" si="10"/>
        <v>8</v>
      </c>
      <c r="AK15" s="13"/>
      <c r="AL15" s="12"/>
      <c r="AM15" s="12">
        <f t="shared" si="11"/>
        <v>8</v>
      </c>
      <c r="AN15" s="13"/>
      <c r="AO15" s="12"/>
      <c r="AP15" s="12">
        <f t="shared" si="12"/>
        <v>8</v>
      </c>
      <c r="AQ15" s="13"/>
      <c r="AR15" s="12"/>
      <c r="AS15" s="12">
        <f t="shared" si="13"/>
        <v>8</v>
      </c>
      <c r="AT15" s="13"/>
      <c r="AU15" s="12"/>
      <c r="AV15" s="12">
        <f t="shared" si="14"/>
        <v>8</v>
      </c>
      <c r="AW15" s="13"/>
      <c r="AX15" s="12"/>
      <c r="AY15" s="12">
        <f t="shared" si="15"/>
        <v>8</v>
      </c>
      <c r="AZ15" s="13"/>
      <c r="BA15" s="12"/>
      <c r="BB15" s="12">
        <f t="shared" si="16"/>
        <v>8</v>
      </c>
      <c r="BC15" s="13"/>
      <c r="BD15" s="12"/>
      <c r="BE15" s="12">
        <f t="shared" si="17"/>
        <v>8</v>
      </c>
      <c r="BF15" s="13"/>
      <c r="BG15" s="12"/>
      <c r="BH15" s="12">
        <f t="shared" si="18"/>
        <v>8</v>
      </c>
      <c r="BI15" s="13"/>
      <c r="BJ15" s="12"/>
      <c r="BK15" s="12">
        <f t="shared" si="19"/>
        <v>8</v>
      </c>
      <c r="BL15" s="13"/>
      <c r="BM15" s="12"/>
      <c r="BN15" s="12">
        <f t="shared" si="20"/>
        <v>8</v>
      </c>
      <c r="BO15" s="13"/>
      <c r="BP15" s="14">
        <f t="shared" si="21"/>
        <v>0</v>
      </c>
      <c r="BQ15" s="14">
        <f t="shared" si="22"/>
        <v>8</v>
      </c>
    </row>
    <row r="16">
      <c r="A16" s="17"/>
      <c r="B16" s="15"/>
      <c r="C16" s="15"/>
      <c r="D16" s="21" t="s">
        <v>108</v>
      </c>
      <c r="E16" s="11" t="s">
        <v>54</v>
      </c>
      <c r="F16" s="11" t="s">
        <v>45</v>
      </c>
      <c r="G16" s="11">
        <v>16.0</v>
      </c>
      <c r="H16" s="12"/>
      <c r="I16" s="12">
        <f t="shared" si="1"/>
        <v>16</v>
      </c>
      <c r="J16" s="13"/>
      <c r="K16" s="12"/>
      <c r="L16" s="12">
        <f t="shared" si="2"/>
        <v>16</v>
      </c>
      <c r="M16" s="13"/>
      <c r="N16" s="12"/>
      <c r="O16" s="12">
        <f t="shared" si="3"/>
        <v>16</v>
      </c>
      <c r="P16" s="13"/>
      <c r="Q16" s="12"/>
      <c r="R16" s="12">
        <f t="shared" si="4"/>
        <v>16</v>
      </c>
      <c r="S16" s="13"/>
      <c r="T16" s="12"/>
      <c r="U16" s="12">
        <f t="shared" si="5"/>
        <v>16</v>
      </c>
      <c r="V16" s="13"/>
      <c r="W16" s="12"/>
      <c r="X16" s="12">
        <f t="shared" si="6"/>
        <v>16</v>
      </c>
      <c r="Y16" s="13"/>
      <c r="Z16" s="12"/>
      <c r="AA16" s="12">
        <f t="shared" si="7"/>
        <v>16</v>
      </c>
      <c r="AB16" s="13"/>
      <c r="AC16" s="12"/>
      <c r="AD16" s="12">
        <f t="shared" si="8"/>
        <v>16</v>
      </c>
      <c r="AE16" s="13"/>
      <c r="AF16" s="12"/>
      <c r="AG16" s="12">
        <f t="shared" si="9"/>
        <v>16</v>
      </c>
      <c r="AH16" s="13"/>
      <c r="AI16" s="12"/>
      <c r="AJ16" s="12">
        <f t="shared" si="10"/>
        <v>16</v>
      </c>
      <c r="AK16" s="13"/>
      <c r="AL16" s="12"/>
      <c r="AM16" s="12">
        <f t="shared" si="11"/>
        <v>16</v>
      </c>
      <c r="AN16" s="13"/>
      <c r="AO16" s="12"/>
      <c r="AP16" s="12">
        <f t="shared" si="12"/>
        <v>16</v>
      </c>
      <c r="AQ16" s="13"/>
      <c r="AR16" s="12"/>
      <c r="AS16" s="12">
        <f t="shared" si="13"/>
        <v>16</v>
      </c>
      <c r="AT16" s="13"/>
      <c r="AU16" s="12"/>
      <c r="AV16" s="12">
        <f t="shared" si="14"/>
        <v>16</v>
      </c>
      <c r="AW16" s="13"/>
      <c r="AX16" s="12"/>
      <c r="AY16" s="12">
        <f t="shared" si="15"/>
        <v>16</v>
      </c>
      <c r="AZ16" s="13"/>
      <c r="BA16" s="12"/>
      <c r="BB16" s="12">
        <f t="shared" si="16"/>
        <v>16</v>
      </c>
      <c r="BC16" s="13"/>
      <c r="BD16" s="12"/>
      <c r="BE16" s="12">
        <f t="shared" si="17"/>
        <v>16</v>
      </c>
      <c r="BF16" s="13"/>
      <c r="BG16" s="12"/>
      <c r="BH16" s="12">
        <f t="shared" si="18"/>
        <v>16</v>
      </c>
      <c r="BI16" s="13"/>
      <c r="BJ16" s="12"/>
      <c r="BK16" s="12">
        <f t="shared" si="19"/>
        <v>16</v>
      </c>
      <c r="BL16" s="13"/>
      <c r="BM16" s="12"/>
      <c r="BN16" s="12">
        <f t="shared" si="20"/>
        <v>16</v>
      </c>
      <c r="BO16" s="13"/>
      <c r="BP16" s="14">
        <f t="shared" si="21"/>
        <v>0</v>
      </c>
      <c r="BQ16" s="14">
        <f t="shared" si="22"/>
        <v>16</v>
      </c>
    </row>
    <row r="17" ht="71.25" customHeight="1">
      <c r="A17" s="17"/>
      <c r="B17" s="16"/>
      <c r="C17" s="16"/>
      <c r="D17" s="21" t="s">
        <v>112</v>
      </c>
      <c r="E17" s="11" t="s">
        <v>35</v>
      </c>
      <c r="F17" s="11" t="s">
        <v>45</v>
      </c>
      <c r="G17" s="11">
        <v>4.0</v>
      </c>
      <c r="H17" s="12"/>
      <c r="I17" s="12">
        <f t="shared" si="1"/>
        <v>4</v>
      </c>
      <c r="J17" s="13"/>
      <c r="K17" s="12"/>
      <c r="L17" s="12">
        <f t="shared" si="2"/>
        <v>4</v>
      </c>
      <c r="M17" s="13"/>
      <c r="N17" s="12"/>
      <c r="O17" s="12">
        <f t="shared" si="3"/>
        <v>4</v>
      </c>
      <c r="P17" s="13"/>
      <c r="Q17" s="12"/>
      <c r="R17" s="12">
        <f t="shared" si="4"/>
        <v>4</v>
      </c>
      <c r="S17" s="13"/>
      <c r="T17" s="12"/>
      <c r="U17" s="12">
        <f t="shared" si="5"/>
        <v>4</v>
      </c>
      <c r="V17" s="13"/>
      <c r="W17" s="12"/>
      <c r="X17" s="12">
        <f t="shared" si="6"/>
        <v>4</v>
      </c>
      <c r="Y17" s="13"/>
      <c r="Z17" s="12"/>
      <c r="AA17" s="12">
        <f t="shared" si="7"/>
        <v>4</v>
      </c>
      <c r="AB17" s="13"/>
      <c r="AC17" s="12"/>
      <c r="AD17" s="12">
        <f t="shared" si="8"/>
        <v>4</v>
      </c>
      <c r="AE17" s="13"/>
      <c r="AF17" s="12"/>
      <c r="AG17" s="12">
        <f t="shared" si="9"/>
        <v>4</v>
      </c>
      <c r="AH17" s="13"/>
      <c r="AI17" s="12"/>
      <c r="AJ17" s="12">
        <f t="shared" si="10"/>
        <v>4</v>
      </c>
      <c r="AK17" s="13"/>
      <c r="AL17" s="12"/>
      <c r="AM17" s="12">
        <f t="shared" si="11"/>
        <v>4</v>
      </c>
      <c r="AN17" s="13"/>
      <c r="AO17" s="12"/>
      <c r="AP17" s="12">
        <f t="shared" si="12"/>
        <v>4</v>
      </c>
      <c r="AQ17" s="13"/>
      <c r="AR17" s="12"/>
      <c r="AS17" s="12">
        <f t="shared" si="13"/>
        <v>4</v>
      </c>
      <c r="AT17" s="13"/>
      <c r="AU17" s="12"/>
      <c r="AV17" s="12">
        <f t="shared" si="14"/>
        <v>4</v>
      </c>
      <c r="AW17" s="13"/>
      <c r="AX17" s="12"/>
      <c r="AY17" s="12">
        <f t="shared" si="15"/>
        <v>4</v>
      </c>
      <c r="AZ17" s="13"/>
      <c r="BA17" s="12"/>
      <c r="BB17" s="12">
        <f t="shared" si="16"/>
        <v>4</v>
      </c>
      <c r="BC17" s="13"/>
      <c r="BD17" s="12"/>
      <c r="BE17" s="12">
        <f t="shared" si="17"/>
        <v>4</v>
      </c>
      <c r="BF17" s="13"/>
      <c r="BG17" s="12"/>
      <c r="BH17" s="12">
        <f t="shared" si="18"/>
        <v>4</v>
      </c>
      <c r="BI17" s="13"/>
      <c r="BJ17" s="12"/>
      <c r="BK17" s="12">
        <f t="shared" si="19"/>
        <v>4</v>
      </c>
      <c r="BL17" s="13"/>
      <c r="BM17" s="12"/>
      <c r="BN17" s="12">
        <f t="shared" si="20"/>
        <v>4</v>
      </c>
      <c r="BO17" s="13"/>
      <c r="BP17" s="14">
        <f t="shared" si="21"/>
        <v>0</v>
      </c>
      <c r="BQ17" s="14">
        <f t="shared" si="22"/>
        <v>4</v>
      </c>
    </row>
    <row r="18" ht="55.5" customHeight="1">
      <c r="A18" s="17"/>
      <c r="B18" s="9" t="s">
        <v>118</v>
      </c>
      <c r="C18" s="9" t="s">
        <v>119</v>
      </c>
      <c r="D18" s="22" t="s">
        <v>120</v>
      </c>
      <c r="E18" s="11" t="s">
        <v>35</v>
      </c>
      <c r="F18" s="11" t="s">
        <v>45</v>
      </c>
      <c r="G18" s="11">
        <v>3.0</v>
      </c>
      <c r="H18" s="12"/>
      <c r="I18" s="12">
        <f t="shared" si="1"/>
        <v>3</v>
      </c>
      <c r="J18" s="13"/>
      <c r="K18" s="12"/>
      <c r="L18" s="12">
        <f t="shared" si="2"/>
        <v>3</v>
      </c>
      <c r="M18" s="13"/>
      <c r="N18" s="12"/>
      <c r="O18" s="12">
        <f t="shared" si="3"/>
        <v>3</v>
      </c>
      <c r="P18" s="13"/>
      <c r="Q18" s="12"/>
      <c r="R18" s="12">
        <f t="shared" si="4"/>
        <v>3</v>
      </c>
      <c r="S18" s="13"/>
      <c r="T18" s="12"/>
      <c r="U18" s="12">
        <f t="shared" si="5"/>
        <v>3</v>
      </c>
      <c r="V18" s="13"/>
      <c r="W18" s="12"/>
      <c r="X18" s="12">
        <f t="shared" si="6"/>
        <v>3</v>
      </c>
      <c r="Y18" s="13"/>
      <c r="Z18" s="12"/>
      <c r="AA18" s="12">
        <f t="shared" si="7"/>
        <v>3</v>
      </c>
      <c r="AB18" s="13"/>
      <c r="AC18" s="12"/>
      <c r="AD18" s="12">
        <f t="shared" si="8"/>
        <v>3</v>
      </c>
      <c r="AE18" s="13"/>
      <c r="AF18" s="12"/>
      <c r="AG18" s="12">
        <f t="shared" si="9"/>
        <v>3</v>
      </c>
      <c r="AH18" s="13"/>
      <c r="AI18" s="12"/>
      <c r="AJ18" s="12">
        <f t="shared" si="10"/>
        <v>3</v>
      </c>
      <c r="AK18" s="13"/>
      <c r="AL18" s="12"/>
      <c r="AM18" s="12">
        <f t="shared" si="11"/>
        <v>3</v>
      </c>
      <c r="AN18" s="13"/>
      <c r="AO18" s="12"/>
      <c r="AP18" s="12">
        <f t="shared" si="12"/>
        <v>3</v>
      </c>
      <c r="AQ18" s="13"/>
      <c r="AR18" s="12"/>
      <c r="AS18" s="12">
        <f t="shared" si="13"/>
        <v>3</v>
      </c>
      <c r="AT18" s="13"/>
      <c r="AU18" s="12"/>
      <c r="AV18" s="12">
        <f t="shared" si="14"/>
        <v>3</v>
      </c>
      <c r="AW18" s="13"/>
      <c r="AX18" s="12"/>
      <c r="AY18" s="12">
        <f t="shared" si="15"/>
        <v>3</v>
      </c>
      <c r="AZ18" s="13"/>
      <c r="BA18" s="12"/>
      <c r="BB18" s="12">
        <f t="shared" si="16"/>
        <v>3</v>
      </c>
      <c r="BC18" s="13"/>
      <c r="BD18" s="12"/>
      <c r="BE18" s="12">
        <f t="shared" si="17"/>
        <v>3</v>
      </c>
      <c r="BF18" s="13"/>
      <c r="BG18" s="12"/>
      <c r="BH18" s="12">
        <f t="shared" si="18"/>
        <v>3</v>
      </c>
      <c r="BI18" s="13"/>
      <c r="BJ18" s="12"/>
      <c r="BK18" s="12">
        <f t="shared" si="19"/>
        <v>3</v>
      </c>
      <c r="BL18" s="13"/>
      <c r="BM18" s="12"/>
      <c r="BN18" s="12">
        <f t="shared" si="20"/>
        <v>3</v>
      </c>
      <c r="BO18" s="13"/>
      <c r="BP18" s="14">
        <f t="shared" si="21"/>
        <v>0</v>
      </c>
      <c r="BQ18" s="14">
        <f t="shared" si="22"/>
        <v>3</v>
      </c>
    </row>
    <row r="19" ht="75.75" customHeight="1">
      <c r="A19" s="17"/>
      <c r="B19" s="15"/>
      <c r="C19" s="15"/>
      <c r="D19" s="22" t="s">
        <v>127</v>
      </c>
      <c r="E19" s="11" t="s">
        <v>54</v>
      </c>
      <c r="F19" s="11" t="s">
        <v>45</v>
      </c>
      <c r="G19" s="11">
        <v>3.0</v>
      </c>
      <c r="H19" s="12"/>
      <c r="I19" s="12">
        <f t="shared" si="1"/>
        <v>3</v>
      </c>
      <c r="J19" s="13"/>
      <c r="K19" s="12"/>
      <c r="L19" s="12">
        <f t="shared" si="2"/>
        <v>3</v>
      </c>
      <c r="M19" s="13"/>
      <c r="N19" s="12"/>
      <c r="O19" s="12">
        <f t="shared" si="3"/>
        <v>3</v>
      </c>
      <c r="P19" s="13"/>
      <c r="Q19" s="12"/>
      <c r="R19" s="12">
        <f t="shared" si="4"/>
        <v>3</v>
      </c>
      <c r="S19" s="13"/>
      <c r="T19" s="12"/>
      <c r="U19" s="12">
        <f t="shared" si="5"/>
        <v>3</v>
      </c>
      <c r="V19" s="13"/>
      <c r="W19" s="12"/>
      <c r="X19" s="12">
        <f t="shared" si="6"/>
        <v>3</v>
      </c>
      <c r="Y19" s="13"/>
      <c r="Z19" s="12"/>
      <c r="AA19" s="12">
        <f t="shared" si="7"/>
        <v>3</v>
      </c>
      <c r="AB19" s="13"/>
      <c r="AC19" s="12"/>
      <c r="AD19" s="12">
        <f t="shared" si="8"/>
        <v>3</v>
      </c>
      <c r="AE19" s="13"/>
      <c r="AF19" s="12"/>
      <c r="AG19" s="12">
        <f t="shared" si="9"/>
        <v>3</v>
      </c>
      <c r="AH19" s="13"/>
      <c r="AI19" s="12"/>
      <c r="AJ19" s="12">
        <f t="shared" si="10"/>
        <v>3</v>
      </c>
      <c r="AK19" s="13"/>
      <c r="AL19" s="12"/>
      <c r="AM19" s="12">
        <f t="shared" si="11"/>
        <v>3</v>
      </c>
      <c r="AN19" s="13"/>
      <c r="AO19" s="12"/>
      <c r="AP19" s="12">
        <f t="shared" si="12"/>
        <v>3</v>
      </c>
      <c r="AQ19" s="13"/>
      <c r="AR19" s="12"/>
      <c r="AS19" s="12">
        <f t="shared" si="13"/>
        <v>3</v>
      </c>
      <c r="AT19" s="13"/>
      <c r="AU19" s="12"/>
      <c r="AV19" s="12">
        <f t="shared" si="14"/>
        <v>3</v>
      </c>
      <c r="AW19" s="13"/>
      <c r="AX19" s="12"/>
      <c r="AY19" s="12">
        <f t="shared" si="15"/>
        <v>3</v>
      </c>
      <c r="AZ19" s="13"/>
      <c r="BA19" s="12"/>
      <c r="BB19" s="12">
        <f t="shared" si="16"/>
        <v>3</v>
      </c>
      <c r="BC19" s="13"/>
      <c r="BD19" s="12"/>
      <c r="BE19" s="12">
        <f t="shared" si="17"/>
        <v>3</v>
      </c>
      <c r="BF19" s="13"/>
      <c r="BG19" s="12"/>
      <c r="BH19" s="12">
        <f t="shared" si="18"/>
        <v>3</v>
      </c>
      <c r="BI19" s="13"/>
      <c r="BJ19" s="12"/>
      <c r="BK19" s="12">
        <f t="shared" si="19"/>
        <v>3</v>
      </c>
      <c r="BL19" s="13"/>
      <c r="BM19" s="12"/>
      <c r="BN19" s="12">
        <f t="shared" si="20"/>
        <v>3</v>
      </c>
      <c r="BO19" s="13"/>
      <c r="BP19" s="14">
        <f t="shared" si="21"/>
        <v>0</v>
      </c>
      <c r="BQ19" s="14">
        <f t="shared" si="22"/>
        <v>3</v>
      </c>
    </row>
    <row r="20" ht="72.75" customHeight="1">
      <c r="A20" s="17"/>
      <c r="B20" s="15"/>
      <c r="C20" s="15"/>
      <c r="D20" s="22" t="s">
        <v>132</v>
      </c>
      <c r="E20" s="11" t="s">
        <v>54</v>
      </c>
      <c r="F20" s="11" t="s">
        <v>45</v>
      </c>
      <c r="G20" s="11">
        <v>4.0</v>
      </c>
      <c r="H20" s="12"/>
      <c r="I20" s="12">
        <f t="shared" si="1"/>
        <v>4</v>
      </c>
      <c r="J20" s="13"/>
      <c r="K20" s="12"/>
      <c r="L20" s="12">
        <f t="shared" si="2"/>
        <v>4</v>
      </c>
      <c r="M20" s="13"/>
      <c r="N20" s="12"/>
      <c r="O20" s="12">
        <f t="shared" si="3"/>
        <v>4</v>
      </c>
      <c r="P20" s="13"/>
      <c r="Q20" s="12"/>
      <c r="R20" s="12">
        <f t="shared" si="4"/>
        <v>4</v>
      </c>
      <c r="S20" s="13"/>
      <c r="T20" s="12"/>
      <c r="U20" s="12">
        <f t="shared" si="5"/>
        <v>4</v>
      </c>
      <c r="V20" s="13"/>
      <c r="W20" s="12"/>
      <c r="X20" s="12">
        <f t="shared" si="6"/>
        <v>4</v>
      </c>
      <c r="Y20" s="13"/>
      <c r="Z20" s="12"/>
      <c r="AA20" s="12">
        <f t="shared" si="7"/>
        <v>4</v>
      </c>
      <c r="AB20" s="13"/>
      <c r="AC20" s="12"/>
      <c r="AD20" s="12">
        <f t="shared" si="8"/>
        <v>4</v>
      </c>
      <c r="AE20" s="13"/>
      <c r="AF20" s="12"/>
      <c r="AG20" s="12">
        <f t="shared" si="9"/>
        <v>4</v>
      </c>
      <c r="AH20" s="13"/>
      <c r="AI20" s="12"/>
      <c r="AJ20" s="12">
        <f t="shared" si="10"/>
        <v>4</v>
      </c>
      <c r="AK20" s="13"/>
      <c r="AL20" s="12"/>
      <c r="AM20" s="12">
        <f t="shared" si="11"/>
        <v>4</v>
      </c>
      <c r="AN20" s="13"/>
      <c r="AO20" s="12"/>
      <c r="AP20" s="12">
        <f t="shared" si="12"/>
        <v>4</v>
      </c>
      <c r="AQ20" s="13"/>
      <c r="AR20" s="12"/>
      <c r="AS20" s="12">
        <f t="shared" si="13"/>
        <v>4</v>
      </c>
      <c r="AT20" s="13"/>
      <c r="AU20" s="12"/>
      <c r="AV20" s="12">
        <f t="shared" si="14"/>
        <v>4</v>
      </c>
      <c r="AW20" s="13"/>
      <c r="AX20" s="12"/>
      <c r="AY20" s="12">
        <f t="shared" si="15"/>
        <v>4</v>
      </c>
      <c r="AZ20" s="13"/>
      <c r="BA20" s="12"/>
      <c r="BB20" s="12">
        <f t="shared" si="16"/>
        <v>4</v>
      </c>
      <c r="BC20" s="13"/>
      <c r="BD20" s="12"/>
      <c r="BE20" s="12">
        <f t="shared" si="17"/>
        <v>4</v>
      </c>
      <c r="BF20" s="13"/>
      <c r="BG20" s="12"/>
      <c r="BH20" s="12">
        <f t="shared" si="18"/>
        <v>4</v>
      </c>
      <c r="BI20" s="13"/>
      <c r="BJ20" s="12"/>
      <c r="BK20" s="12">
        <f t="shared" si="19"/>
        <v>4</v>
      </c>
      <c r="BL20" s="13"/>
      <c r="BM20" s="12"/>
      <c r="BN20" s="12">
        <f t="shared" si="20"/>
        <v>4</v>
      </c>
      <c r="BO20" s="13"/>
      <c r="BP20" s="14">
        <f t="shared" si="21"/>
        <v>0</v>
      </c>
      <c r="BQ20" s="14">
        <f t="shared" si="22"/>
        <v>4</v>
      </c>
    </row>
    <row r="21" ht="56.25" customHeight="1">
      <c r="A21" s="17"/>
      <c r="B21" s="16"/>
      <c r="C21" s="16"/>
      <c r="D21" s="22" t="s">
        <v>136</v>
      </c>
      <c r="E21" s="11" t="s">
        <v>35</v>
      </c>
      <c r="F21" s="11" t="s">
        <v>45</v>
      </c>
      <c r="G21" s="11">
        <v>2.0</v>
      </c>
      <c r="H21" s="12"/>
      <c r="I21" s="12">
        <f t="shared" si="1"/>
        <v>2</v>
      </c>
      <c r="J21" s="13"/>
      <c r="K21" s="12"/>
      <c r="L21" s="12">
        <f t="shared" si="2"/>
        <v>2</v>
      </c>
      <c r="M21" s="13"/>
      <c r="N21" s="12"/>
      <c r="O21" s="12">
        <f t="shared" si="3"/>
        <v>2</v>
      </c>
      <c r="P21" s="13"/>
      <c r="Q21" s="12"/>
      <c r="R21" s="12">
        <f t="shared" si="4"/>
        <v>2</v>
      </c>
      <c r="S21" s="13"/>
      <c r="T21" s="12"/>
      <c r="U21" s="12">
        <f t="shared" si="5"/>
        <v>2</v>
      </c>
      <c r="V21" s="13"/>
      <c r="W21" s="12"/>
      <c r="X21" s="12">
        <f t="shared" si="6"/>
        <v>2</v>
      </c>
      <c r="Y21" s="13"/>
      <c r="Z21" s="12"/>
      <c r="AA21" s="12">
        <f t="shared" si="7"/>
        <v>2</v>
      </c>
      <c r="AB21" s="13"/>
      <c r="AC21" s="12"/>
      <c r="AD21" s="12">
        <f t="shared" si="8"/>
        <v>2</v>
      </c>
      <c r="AE21" s="13"/>
      <c r="AF21" s="12"/>
      <c r="AG21" s="12">
        <f t="shared" si="9"/>
        <v>2</v>
      </c>
      <c r="AH21" s="13"/>
      <c r="AI21" s="12"/>
      <c r="AJ21" s="12">
        <f t="shared" si="10"/>
        <v>2</v>
      </c>
      <c r="AK21" s="13"/>
      <c r="AL21" s="12"/>
      <c r="AM21" s="12">
        <f t="shared" si="11"/>
        <v>2</v>
      </c>
      <c r="AN21" s="13"/>
      <c r="AO21" s="12"/>
      <c r="AP21" s="12">
        <f t="shared" si="12"/>
        <v>2</v>
      </c>
      <c r="AQ21" s="13"/>
      <c r="AR21" s="12"/>
      <c r="AS21" s="12">
        <f t="shared" si="13"/>
        <v>2</v>
      </c>
      <c r="AT21" s="13"/>
      <c r="AU21" s="12"/>
      <c r="AV21" s="12">
        <f t="shared" si="14"/>
        <v>2</v>
      </c>
      <c r="AW21" s="13"/>
      <c r="AX21" s="12"/>
      <c r="AY21" s="12">
        <f t="shared" si="15"/>
        <v>2</v>
      </c>
      <c r="AZ21" s="13"/>
      <c r="BA21" s="12"/>
      <c r="BB21" s="12">
        <f t="shared" si="16"/>
        <v>2</v>
      </c>
      <c r="BC21" s="13"/>
      <c r="BD21" s="12"/>
      <c r="BE21" s="12">
        <f t="shared" si="17"/>
        <v>2</v>
      </c>
      <c r="BF21" s="13"/>
      <c r="BG21" s="12"/>
      <c r="BH21" s="12">
        <f t="shared" si="18"/>
        <v>2</v>
      </c>
      <c r="BI21" s="13"/>
      <c r="BJ21" s="12"/>
      <c r="BK21" s="12">
        <f t="shared" si="19"/>
        <v>2</v>
      </c>
      <c r="BL21" s="13"/>
      <c r="BM21" s="12"/>
      <c r="BN21" s="12">
        <f t="shared" si="20"/>
        <v>2</v>
      </c>
      <c r="BO21" s="13"/>
      <c r="BP21" s="14">
        <f t="shared" si="21"/>
        <v>0</v>
      </c>
      <c r="BQ21" s="14">
        <f t="shared" si="22"/>
        <v>2</v>
      </c>
    </row>
    <row r="22" ht="87.75" customHeight="1">
      <c r="A22" s="17"/>
      <c r="B22" s="9" t="s">
        <v>143</v>
      </c>
      <c r="C22" s="9" t="s">
        <v>144</v>
      </c>
      <c r="D22" s="20" t="s">
        <v>145</v>
      </c>
      <c r="E22" s="11" t="s">
        <v>35</v>
      </c>
      <c r="F22" s="11" t="s">
        <v>45</v>
      </c>
      <c r="G22" s="11">
        <v>2.0</v>
      </c>
      <c r="H22" s="12"/>
      <c r="I22" s="12">
        <f t="shared" si="1"/>
        <v>2</v>
      </c>
      <c r="J22" s="13"/>
      <c r="K22" s="12"/>
      <c r="L22" s="12">
        <f t="shared" si="2"/>
        <v>2</v>
      </c>
      <c r="M22" s="13"/>
      <c r="N22" s="12"/>
      <c r="O22" s="12">
        <f t="shared" si="3"/>
        <v>2</v>
      </c>
      <c r="P22" s="13"/>
      <c r="Q22" s="12"/>
      <c r="R22" s="12">
        <f t="shared" si="4"/>
        <v>2</v>
      </c>
      <c r="S22" s="13"/>
      <c r="T22" s="12"/>
      <c r="U22" s="12">
        <f t="shared" si="5"/>
        <v>2</v>
      </c>
      <c r="V22" s="13"/>
      <c r="W22" s="12"/>
      <c r="X22" s="12">
        <f t="shared" si="6"/>
        <v>2</v>
      </c>
      <c r="Y22" s="13"/>
      <c r="Z22" s="12"/>
      <c r="AA22" s="12">
        <f t="shared" si="7"/>
        <v>2</v>
      </c>
      <c r="AB22" s="13"/>
      <c r="AC22" s="12"/>
      <c r="AD22" s="12">
        <f t="shared" si="8"/>
        <v>2</v>
      </c>
      <c r="AE22" s="13"/>
      <c r="AF22" s="12"/>
      <c r="AG22" s="12">
        <f t="shared" si="9"/>
        <v>2</v>
      </c>
      <c r="AH22" s="13"/>
      <c r="AI22" s="12"/>
      <c r="AJ22" s="12">
        <f t="shared" si="10"/>
        <v>2</v>
      </c>
      <c r="AK22" s="13"/>
      <c r="AL22" s="12"/>
      <c r="AM22" s="12">
        <f t="shared" si="11"/>
        <v>2</v>
      </c>
      <c r="AN22" s="13"/>
      <c r="AO22" s="12"/>
      <c r="AP22" s="12">
        <f t="shared" si="12"/>
        <v>2</v>
      </c>
      <c r="AQ22" s="13"/>
      <c r="AR22" s="12"/>
      <c r="AS22" s="12">
        <f t="shared" si="13"/>
        <v>2</v>
      </c>
      <c r="AT22" s="13"/>
      <c r="AU22" s="12"/>
      <c r="AV22" s="12">
        <f t="shared" si="14"/>
        <v>2</v>
      </c>
      <c r="AW22" s="13"/>
      <c r="AX22" s="12"/>
      <c r="AY22" s="12">
        <f t="shared" si="15"/>
        <v>2</v>
      </c>
      <c r="AZ22" s="13"/>
      <c r="BA22" s="12"/>
      <c r="BB22" s="12">
        <f t="shared" si="16"/>
        <v>2</v>
      </c>
      <c r="BC22" s="13"/>
      <c r="BD22" s="12"/>
      <c r="BE22" s="12">
        <f t="shared" si="17"/>
        <v>2</v>
      </c>
      <c r="BF22" s="13"/>
      <c r="BG22" s="12"/>
      <c r="BH22" s="12">
        <f t="shared" si="18"/>
        <v>2</v>
      </c>
      <c r="BI22" s="13"/>
      <c r="BJ22" s="12"/>
      <c r="BK22" s="12">
        <f t="shared" si="19"/>
        <v>2</v>
      </c>
      <c r="BL22" s="13"/>
      <c r="BM22" s="12"/>
      <c r="BN22" s="12">
        <f t="shared" si="20"/>
        <v>2</v>
      </c>
      <c r="BO22" s="13"/>
      <c r="BP22" s="14">
        <f t="shared" si="21"/>
        <v>0</v>
      </c>
      <c r="BQ22" s="14">
        <f t="shared" si="22"/>
        <v>2</v>
      </c>
    </row>
    <row r="23" ht="60.0" customHeight="1">
      <c r="A23" s="17"/>
      <c r="B23" s="15"/>
      <c r="C23" s="15"/>
      <c r="D23" s="21" t="s">
        <v>153</v>
      </c>
      <c r="E23" s="11" t="s">
        <v>54</v>
      </c>
      <c r="F23" s="11" t="s">
        <v>45</v>
      </c>
      <c r="G23" s="11">
        <v>5.0</v>
      </c>
      <c r="H23" s="12"/>
      <c r="I23" s="12">
        <f t="shared" si="1"/>
        <v>5</v>
      </c>
      <c r="J23" s="13"/>
      <c r="K23" s="12"/>
      <c r="L23" s="12">
        <f t="shared" si="2"/>
        <v>5</v>
      </c>
      <c r="M23" s="13"/>
      <c r="N23" s="12"/>
      <c r="O23" s="12">
        <f t="shared" si="3"/>
        <v>5</v>
      </c>
      <c r="P23" s="13"/>
      <c r="Q23" s="12"/>
      <c r="R23" s="12">
        <f t="shared" si="4"/>
        <v>5</v>
      </c>
      <c r="S23" s="13"/>
      <c r="T23" s="12"/>
      <c r="U23" s="12">
        <f t="shared" si="5"/>
        <v>5</v>
      </c>
      <c r="V23" s="13"/>
      <c r="W23" s="12"/>
      <c r="X23" s="12">
        <f t="shared" si="6"/>
        <v>5</v>
      </c>
      <c r="Y23" s="13"/>
      <c r="Z23" s="12"/>
      <c r="AA23" s="12">
        <f t="shared" si="7"/>
        <v>5</v>
      </c>
      <c r="AB23" s="13"/>
      <c r="AC23" s="12"/>
      <c r="AD23" s="12">
        <f t="shared" si="8"/>
        <v>5</v>
      </c>
      <c r="AE23" s="13"/>
      <c r="AF23" s="12"/>
      <c r="AG23" s="12">
        <f t="shared" si="9"/>
        <v>5</v>
      </c>
      <c r="AH23" s="13"/>
      <c r="AI23" s="12"/>
      <c r="AJ23" s="12">
        <f t="shared" si="10"/>
        <v>5</v>
      </c>
      <c r="AK23" s="13"/>
      <c r="AL23" s="12"/>
      <c r="AM23" s="12">
        <f t="shared" si="11"/>
        <v>5</v>
      </c>
      <c r="AN23" s="13"/>
      <c r="AO23" s="12"/>
      <c r="AP23" s="12">
        <f t="shared" si="12"/>
        <v>5</v>
      </c>
      <c r="AQ23" s="13"/>
      <c r="AR23" s="12"/>
      <c r="AS23" s="12">
        <f t="shared" si="13"/>
        <v>5</v>
      </c>
      <c r="AT23" s="13"/>
      <c r="AU23" s="12"/>
      <c r="AV23" s="12">
        <f t="shared" si="14"/>
        <v>5</v>
      </c>
      <c r="AW23" s="13"/>
      <c r="AX23" s="12"/>
      <c r="AY23" s="12">
        <f t="shared" si="15"/>
        <v>5</v>
      </c>
      <c r="AZ23" s="13"/>
      <c r="BA23" s="12"/>
      <c r="BB23" s="12">
        <f t="shared" si="16"/>
        <v>5</v>
      </c>
      <c r="BC23" s="13"/>
      <c r="BD23" s="12"/>
      <c r="BE23" s="12">
        <f t="shared" si="17"/>
        <v>5</v>
      </c>
      <c r="BF23" s="13"/>
      <c r="BG23" s="12"/>
      <c r="BH23" s="12">
        <f t="shared" si="18"/>
        <v>5</v>
      </c>
      <c r="BI23" s="13"/>
      <c r="BJ23" s="12"/>
      <c r="BK23" s="12">
        <f t="shared" si="19"/>
        <v>5</v>
      </c>
      <c r="BL23" s="13"/>
      <c r="BM23" s="12"/>
      <c r="BN23" s="12">
        <f t="shared" si="20"/>
        <v>5</v>
      </c>
      <c r="BO23" s="13"/>
      <c r="BP23" s="14">
        <f t="shared" si="21"/>
        <v>0</v>
      </c>
      <c r="BQ23" s="14">
        <f t="shared" si="22"/>
        <v>5</v>
      </c>
    </row>
    <row r="24" ht="68.25" customHeight="1">
      <c r="A24" s="17"/>
      <c r="B24" s="15"/>
      <c r="C24" s="15"/>
      <c r="D24" s="21" t="s">
        <v>157</v>
      </c>
      <c r="E24" s="11" t="s">
        <v>54</v>
      </c>
      <c r="F24" s="11" t="s">
        <v>45</v>
      </c>
      <c r="G24" s="11">
        <v>4.0</v>
      </c>
      <c r="H24" s="12"/>
      <c r="I24" s="12">
        <f t="shared" si="1"/>
        <v>4</v>
      </c>
      <c r="J24" s="13"/>
      <c r="K24" s="12"/>
      <c r="L24" s="12">
        <f t="shared" si="2"/>
        <v>4</v>
      </c>
      <c r="M24" s="13"/>
      <c r="N24" s="12"/>
      <c r="O24" s="12">
        <f t="shared" si="3"/>
        <v>4</v>
      </c>
      <c r="P24" s="13"/>
      <c r="Q24" s="12"/>
      <c r="R24" s="12">
        <f t="shared" si="4"/>
        <v>4</v>
      </c>
      <c r="S24" s="13"/>
      <c r="T24" s="12"/>
      <c r="U24" s="12">
        <f t="shared" si="5"/>
        <v>4</v>
      </c>
      <c r="V24" s="13"/>
      <c r="W24" s="12"/>
      <c r="X24" s="12">
        <f t="shared" si="6"/>
        <v>4</v>
      </c>
      <c r="Y24" s="13"/>
      <c r="Z24" s="12"/>
      <c r="AA24" s="12">
        <f t="shared" si="7"/>
        <v>4</v>
      </c>
      <c r="AB24" s="13"/>
      <c r="AC24" s="12"/>
      <c r="AD24" s="12">
        <f t="shared" si="8"/>
        <v>4</v>
      </c>
      <c r="AE24" s="13"/>
      <c r="AF24" s="12"/>
      <c r="AG24" s="12">
        <f t="shared" si="9"/>
        <v>4</v>
      </c>
      <c r="AH24" s="13"/>
      <c r="AI24" s="12"/>
      <c r="AJ24" s="12">
        <f t="shared" si="10"/>
        <v>4</v>
      </c>
      <c r="AK24" s="13"/>
      <c r="AL24" s="12"/>
      <c r="AM24" s="12">
        <f t="shared" si="11"/>
        <v>4</v>
      </c>
      <c r="AN24" s="13"/>
      <c r="AO24" s="12"/>
      <c r="AP24" s="12">
        <f t="shared" si="12"/>
        <v>4</v>
      </c>
      <c r="AQ24" s="13"/>
      <c r="AR24" s="12"/>
      <c r="AS24" s="12">
        <f t="shared" si="13"/>
        <v>4</v>
      </c>
      <c r="AT24" s="13"/>
      <c r="AU24" s="12"/>
      <c r="AV24" s="12">
        <f t="shared" si="14"/>
        <v>4</v>
      </c>
      <c r="AW24" s="13"/>
      <c r="AX24" s="12"/>
      <c r="AY24" s="12">
        <f t="shared" si="15"/>
        <v>4</v>
      </c>
      <c r="AZ24" s="13"/>
      <c r="BA24" s="12"/>
      <c r="BB24" s="12">
        <f t="shared" si="16"/>
        <v>4</v>
      </c>
      <c r="BC24" s="13"/>
      <c r="BD24" s="12"/>
      <c r="BE24" s="12">
        <f t="shared" si="17"/>
        <v>4</v>
      </c>
      <c r="BF24" s="13"/>
      <c r="BG24" s="12"/>
      <c r="BH24" s="12">
        <f t="shared" si="18"/>
        <v>4</v>
      </c>
      <c r="BI24" s="13"/>
      <c r="BJ24" s="12"/>
      <c r="BK24" s="12">
        <f t="shared" si="19"/>
        <v>4</v>
      </c>
      <c r="BL24" s="13"/>
      <c r="BM24" s="12"/>
      <c r="BN24" s="12">
        <f t="shared" si="20"/>
        <v>4</v>
      </c>
      <c r="BO24" s="13"/>
      <c r="BP24" s="14">
        <f t="shared" si="21"/>
        <v>0</v>
      </c>
      <c r="BQ24" s="14">
        <f t="shared" si="22"/>
        <v>4</v>
      </c>
    </row>
    <row r="25" ht="96.0" customHeight="1">
      <c r="A25" s="17"/>
      <c r="B25" s="16"/>
      <c r="C25" s="16"/>
      <c r="D25" s="21" t="s">
        <v>160</v>
      </c>
      <c r="E25" s="11" t="s">
        <v>35</v>
      </c>
      <c r="F25" s="11" t="s">
        <v>45</v>
      </c>
      <c r="G25" s="11">
        <v>4.0</v>
      </c>
      <c r="H25" s="12"/>
      <c r="I25" s="12">
        <f t="shared" si="1"/>
        <v>4</v>
      </c>
      <c r="J25" s="13"/>
      <c r="K25" s="12"/>
      <c r="L25" s="12">
        <f t="shared" si="2"/>
        <v>4</v>
      </c>
      <c r="M25" s="13"/>
      <c r="N25" s="12"/>
      <c r="O25" s="12">
        <f t="shared" si="3"/>
        <v>4</v>
      </c>
      <c r="P25" s="13"/>
      <c r="Q25" s="12"/>
      <c r="R25" s="12">
        <f t="shared" si="4"/>
        <v>4</v>
      </c>
      <c r="S25" s="13"/>
      <c r="T25" s="12"/>
      <c r="U25" s="12">
        <f t="shared" si="5"/>
        <v>4</v>
      </c>
      <c r="V25" s="13"/>
      <c r="W25" s="12"/>
      <c r="X25" s="12">
        <f t="shared" si="6"/>
        <v>4</v>
      </c>
      <c r="Y25" s="13"/>
      <c r="Z25" s="12"/>
      <c r="AA25" s="12">
        <f t="shared" si="7"/>
        <v>4</v>
      </c>
      <c r="AB25" s="13"/>
      <c r="AC25" s="12"/>
      <c r="AD25" s="12">
        <f t="shared" si="8"/>
        <v>4</v>
      </c>
      <c r="AE25" s="13"/>
      <c r="AF25" s="12"/>
      <c r="AG25" s="12">
        <f t="shared" si="9"/>
        <v>4</v>
      </c>
      <c r="AH25" s="13"/>
      <c r="AI25" s="12"/>
      <c r="AJ25" s="12">
        <f t="shared" si="10"/>
        <v>4</v>
      </c>
      <c r="AK25" s="13"/>
      <c r="AL25" s="12"/>
      <c r="AM25" s="12">
        <f t="shared" si="11"/>
        <v>4</v>
      </c>
      <c r="AN25" s="13"/>
      <c r="AO25" s="12"/>
      <c r="AP25" s="12">
        <f t="shared" si="12"/>
        <v>4</v>
      </c>
      <c r="AQ25" s="13"/>
      <c r="AR25" s="12"/>
      <c r="AS25" s="12">
        <f t="shared" si="13"/>
        <v>4</v>
      </c>
      <c r="AT25" s="13"/>
      <c r="AU25" s="12"/>
      <c r="AV25" s="12">
        <f t="shared" si="14"/>
        <v>4</v>
      </c>
      <c r="AW25" s="13"/>
      <c r="AX25" s="12"/>
      <c r="AY25" s="12">
        <f t="shared" si="15"/>
        <v>4</v>
      </c>
      <c r="AZ25" s="13"/>
      <c r="BA25" s="12"/>
      <c r="BB25" s="12">
        <f t="shared" si="16"/>
        <v>4</v>
      </c>
      <c r="BC25" s="13"/>
      <c r="BD25" s="12"/>
      <c r="BE25" s="12">
        <f t="shared" si="17"/>
        <v>4</v>
      </c>
      <c r="BF25" s="13"/>
      <c r="BG25" s="12"/>
      <c r="BH25" s="12">
        <f t="shared" si="18"/>
        <v>4</v>
      </c>
      <c r="BI25" s="13"/>
      <c r="BJ25" s="12"/>
      <c r="BK25" s="12">
        <f t="shared" si="19"/>
        <v>4</v>
      </c>
      <c r="BL25" s="13"/>
      <c r="BM25" s="12"/>
      <c r="BN25" s="12">
        <f t="shared" si="20"/>
        <v>4</v>
      </c>
      <c r="BO25" s="13"/>
      <c r="BP25" s="14">
        <f t="shared" si="21"/>
        <v>0</v>
      </c>
      <c r="BQ25" s="14">
        <f t="shared" si="22"/>
        <v>4</v>
      </c>
    </row>
    <row r="26" ht="55.5" customHeight="1">
      <c r="A26" s="17"/>
      <c r="B26" s="9" t="s">
        <v>166</v>
      </c>
      <c r="C26" s="9" t="s">
        <v>167</v>
      </c>
      <c r="D26" s="20" t="s">
        <v>168</v>
      </c>
      <c r="E26" s="11" t="s">
        <v>35</v>
      </c>
      <c r="F26" s="11" t="s">
        <v>45</v>
      </c>
      <c r="G26" s="11">
        <v>2.0</v>
      </c>
      <c r="H26" s="12"/>
      <c r="I26" s="12">
        <f t="shared" si="1"/>
        <v>2</v>
      </c>
      <c r="J26" s="13"/>
      <c r="K26" s="12"/>
      <c r="L26" s="12">
        <f t="shared" si="2"/>
        <v>2</v>
      </c>
      <c r="M26" s="13"/>
      <c r="N26" s="12"/>
      <c r="O26" s="12">
        <f t="shared" si="3"/>
        <v>2</v>
      </c>
      <c r="P26" s="13"/>
      <c r="Q26" s="12"/>
      <c r="R26" s="12">
        <f t="shared" si="4"/>
        <v>2</v>
      </c>
      <c r="S26" s="13"/>
      <c r="T26" s="12"/>
      <c r="U26" s="12">
        <f t="shared" si="5"/>
        <v>2</v>
      </c>
      <c r="V26" s="13"/>
      <c r="W26" s="12"/>
      <c r="X26" s="12">
        <f t="shared" si="6"/>
        <v>2</v>
      </c>
      <c r="Y26" s="13"/>
      <c r="Z26" s="12"/>
      <c r="AA26" s="12">
        <f t="shared" si="7"/>
        <v>2</v>
      </c>
      <c r="AB26" s="13"/>
      <c r="AC26" s="12"/>
      <c r="AD26" s="12">
        <f t="shared" si="8"/>
        <v>2</v>
      </c>
      <c r="AE26" s="13"/>
      <c r="AF26" s="12"/>
      <c r="AG26" s="12">
        <f t="shared" si="9"/>
        <v>2</v>
      </c>
      <c r="AH26" s="13"/>
      <c r="AI26" s="12"/>
      <c r="AJ26" s="12">
        <f t="shared" si="10"/>
        <v>2</v>
      </c>
      <c r="AK26" s="13"/>
      <c r="AL26" s="12"/>
      <c r="AM26" s="12">
        <f t="shared" si="11"/>
        <v>2</v>
      </c>
      <c r="AN26" s="13"/>
      <c r="AO26" s="12"/>
      <c r="AP26" s="12">
        <f t="shared" si="12"/>
        <v>2</v>
      </c>
      <c r="AQ26" s="13"/>
      <c r="AR26" s="12"/>
      <c r="AS26" s="12">
        <f t="shared" si="13"/>
        <v>2</v>
      </c>
      <c r="AT26" s="13"/>
      <c r="AU26" s="12"/>
      <c r="AV26" s="12">
        <f t="shared" si="14"/>
        <v>2</v>
      </c>
      <c r="AW26" s="13"/>
      <c r="AX26" s="12"/>
      <c r="AY26" s="12">
        <f t="shared" si="15"/>
        <v>2</v>
      </c>
      <c r="AZ26" s="13"/>
      <c r="BA26" s="12"/>
      <c r="BB26" s="12">
        <f t="shared" si="16"/>
        <v>2</v>
      </c>
      <c r="BC26" s="13"/>
      <c r="BD26" s="12"/>
      <c r="BE26" s="12">
        <f t="shared" si="17"/>
        <v>2</v>
      </c>
      <c r="BF26" s="13"/>
      <c r="BG26" s="12"/>
      <c r="BH26" s="12">
        <f t="shared" si="18"/>
        <v>2</v>
      </c>
      <c r="BI26" s="13"/>
      <c r="BJ26" s="12"/>
      <c r="BK26" s="12">
        <f t="shared" si="19"/>
        <v>2</v>
      </c>
      <c r="BL26" s="13"/>
      <c r="BM26" s="12"/>
      <c r="BN26" s="12">
        <f t="shared" si="20"/>
        <v>2</v>
      </c>
      <c r="BO26" s="13"/>
      <c r="BP26" s="14">
        <f t="shared" si="21"/>
        <v>0</v>
      </c>
      <c r="BQ26" s="14">
        <f t="shared" si="22"/>
        <v>2</v>
      </c>
    </row>
    <row r="27" ht="90.75" customHeight="1">
      <c r="A27" s="17"/>
      <c r="B27" s="15"/>
      <c r="C27" s="15"/>
      <c r="D27" s="21" t="s">
        <v>172</v>
      </c>
      <c r="E27" s="11" t="s">
        <v>54</v>
      </c>
      <c r="F27" s="11" t="s">
        <v>45</v>
      </c>
      <c r="G27" s="11">
        <v>4.0</v>
      </c>
      <c r="H27" s="12"/>
      <c r="I27" s="12">
        <f t="shared" si="1"/>
        <v>4</v>
      </c>
      <c r="J27" s="13"/>
      <c r="K27" s="12"/>
      <c r="L27" s="12">
        <f t="shared" si="2"/>
        <v>4</v>
      </c>
      <c r="M27" s="13"/>
      <c r="N27" s="12"/>
      <c r="O27" s="12">
        <f t="shared" si="3"/>
        <v>4</v>
      </c>
      <c r="P27" s="13"/>
      <c r="Q27" s="12"/>
      <c r="R27" s="12">
        <f t="shared" si="4"/>
        <v>4</v>
      </c>
      <c r="S27" s="13"/>
      <c r="T27" s="12"/>
      <c r="U27" s="12">
        <f t="shared" si="5"/>
        <v>4</v>
      </c>
      <c r="V27" s="13"/>
      <c r="W27" s="12"/>
      <c r="X27" s="12">
        <f t="shared" si="6"/>
        <v>4</v>
      </c>
      <c r="Y27" s="13"/>
      <c r="Z27" s="12"/>
      <c r="AA27" s="12">
        <f t="shared" si="7"/>
        <v>4</v>
      </c>
      <c r="AB27" s="13"/>
      <c r="AC27" s="12"/>
      <c r="AD27" s="12">
        <f t="shared" si="8"/>
        <v>4</v>
      </c>
      <c r="AE27" s="13"/>
      <c r="AF27" s="12"/>
      <c r="AG27" s="12">
        <f t="shared" si="9"/>
        <v>4</v>
      </c>
      <c r="AH27" s="13"/>
      <c r="AI27" s="12"/>
      <c r="AJ27" s="12">
        <f t="shared" si="10"/>
        <v>4</v>
      </c>
      <c r="AK27" s="13"/>
      <c r="AL27" s="12"/>
      <c r="AM27" s="12">
        <f t="shared" si="11"/>
        <v>4</v>
      </c>
      <c r="AN27" s="13"/>
      <c r="AO27" s="12"/>
      <c r="AP27" s="12">
        <f t="shared" si="12"/>
        <v>4</v>
      </c>
      <c r="AQ27" s="13"/>
      <c r="AR27" s="12"/>
      <c r="AS27" s="12">
        <f t="shared" si="13"/>
        <v>4</v>
      </c>
      <c r="AT27" s="13"/>
      <c r="AU27" s="12"/>
      <c r="AV27" s="12">
        <f t="shared" si="14"/>
        <v>4</v>
      </c>
      <c r="AW27" s="13"/>
      <c r="AX27" s="12"/>
      <c r="AY27" s="12">
        <f t="shared" si="15"/>
        <v>4</v>
      </c>
      <c r="AZ27" s="13"/>
      <c r="BA27" s="12"/>
      <c r="BB27" s="12">
        <f t="shared" si="16"/>
        <v>4</v>
      </c>
      <c r="BC27" s="13"/>
      <c r="BD27" s="12"/>
      <c r="BE27" s="12">
        <f t="shared" si="17"/>
        <v>4</v>
      </c>
      <c r="BF27" s="13"/>
      <c r="BG27" s="12"/>
      <c r="BH27" s="12">
        <f t="shared" si="18"/>
        <v>4</v>
      </c>
      <c r="BI27" s="13"/>
      <c r="BJ27" s="12"/>
      <c r="BK27" s="12">
        <f t="shared" si="19"/>
        <v>4</v>
      </c>
      <c r="BL27" s="13"/>
      <c r="BM27" s="12"/>
      <c r="BN27" s="12">
        <f t="shared" si="20"/>
        <v>4</v>
      </c>
      <c r="BO27" s="13"/>
      <c r="BP27" s="14">
        <f t="shared" si="21"/>
        <v>0</v>
      </c>
      <c r="BQ27" s="14">
        <f t="shared" si="22"/>
        <v>4</v>
      </c>
    </row>
    <row r="28" ht="58.5" customHeight="1">
      <c r="A28" s="17"/>
      <c r="B28" s="15"/>
      <c r="C28" s="15"/>
      <c r="D28" s="21" t="s">
        <v>177</v>
      </c>
      <c r="E28" s="11" t="s">
        <v>54</v>
      </c>
      <c r="F28" s="11" t="s">
        <v>45</v>
      </c>
      <c r="G28" s="11">
        <v>4.0</v>
      </c>
      <c r="H28" s="12"/>
      <c r="I28" s="12">
        <f t="shared" si="1"/>
        <v>4</v>
      </c>
      <c r="J28" s="13"/>
      <c r="K28" s="12"/>
      <c r="L28" s="12">
        <f t="shared" si="2"/>
        <v>4</v>
      </c>
      <c r="M28" s="13"/>
      <c r="N28" s="12"/>
      <c r="O28" s="12">
        <f t="shared" si="3"/>
        <v>4</v>
      </c>
      <c r="P28" s="13"/>
      <c r="Q28" s="12"/>
      <c r="R28" s="12">
        <f t="shared" si="4"/>
        <v>4</v>
      </c>
      <c r="S28" s="13"/>
      <c r="T28" s="12"/>
      <c r="U28" s="12">
        <f t="shared" si="5"/>
        <v>4</v>
      </c>
      <c r="V28" s="13"/>
      <c r="W28" s="12"/>
      <c r="X28" s="12">
        <f t="shared" si="6"/>
        <v>4</v>
      </c>
      <c r="Y28" s="13"/>
      <c r="Z28" s="12"/>
      <c r="AA28" s="12">
        <f t="shared" si="7"/>
        <v>4</v>
      </c>
      <c r="AB28" s="13"/>
      <c r="AC28" s="12"/>
      <c r="AD28" s="12">
        <f t="shared" si="8"/>
        <v>4</v>
      </c>
      <c r="AE28" s="13"/>
      <c r="AF28" s="12"/>
      <c r="AG28" s="12">
        <f t="shared" si="9"/>
        <v>4</v>
      </c>
      <c r="AH28" s="13"/>
      <c r="AI28" s="12"/>
      <c r="AJ28" s="12">
        <f t="shared" si="10"/>
        <v>4</v>
      </c>
      <c r="AK28" s="13"/>
      <c r="AL28" s="12"/>
      <c r="AM28" s="12">
        <f t="shared" si="11"/>
        <v>4</v>
      </c>
      <c r="AN28" s="13"/>
      <c r="AO28" s="12"/>
      <c r="AP28" s="12">
        <f t="shared" si="12"/>
        <v>4</v>
      </c>
      <c r="AQ28" s="13"/>
      <c r="AR28" s="12"/>
      <c r="AS28" s="12">
        <f t="shared" si="13"/>
        <v>4</v>
      </c>
      <c r="AT28" s="13"/>
      <c r="AU28" s="12"/>
      <c r="AV28" s="12">
        <f t="shared" si="14"/>
        <v>4</v>
      </c>
      <c r="AW28" s="13"/>
      <c r="AX28" s="12"/>
      <c r="AY28" s="12">
        <f t="shared" si="15"/>
        <v>4</v>
      </c>
      <c r="AZ28" s="13"/>
      <c r="BA28" s="12"/>
      <c r="BB28" s="12">
        <f t="shared" si="16"/>
        <v>4</v>
      </c>
      <c r="BC28" s="13"/>
      <c r="BD28" s="12"/>
      <c r="BE28" s="12">
        <f t="shared" si="17"/>
        <v>4</v>
      </c>
      <c r="BF28" s="13"/>
      <c r="BG28" s="12"/>
      <c r="BH28" s="12">
        <f t="shared" si="18"/>
        <v>4</v>
      </c>
      <c r="BI28" s="13"/>
      <c r="BJ28" s="12"/>
      <c r="BK28" s="12">
        <f t="shared" si="19"/>
        <v>4</v>
      </c>
      <c r="BL28" s="13"/>
      <c r="BM28" s="12"/>
      <c r="BN28" s="12">
        <f t="shared" si="20"/>
        <v>4</v>
      </c>
      <c r="BO28" s="13"/>
      <c r="BP28" s="14">
        <f t="shared" si="21"/>
        <v>0</v>
      </c>
      <c r="BQ28" s="14">
        <f t="shared" si="22"/>
        <v>4</v>
      </c>
    </row>
    <row r="29" ht="81.0" customHeight="1">
      <c r="A29" s="23"/>
      <c r="B29" s="16"/>
      <c r="C29" s="16"/>
      <c r="D29" s="21" t="s">
        <v>180</v>
      </c>
      <c r="E29" s="11" t="s">
        <v>35</v>
      </c>
      <c r="F29" s="11" t="s">
        <v>45</v>
      </c>
      <c r="G29" s="11">
        <v>3.0</v>
      </c>
      <c r="H29" s="12"/>
      <c r="I29" s="12">
        <f t="shared" si="1"/>
        <v>3</v>
      </c>
      <c r="J29" s="13"/>
      <c r="K29" s="12"/>
      <c r="L29" s="12">
        <f t="shared" si="2"/>
        <v>3</v>
      </c>
      <c r="M29" s="13"/>
      <c r="N29" s="12"/>
      <c r="O29" s="12">
        <f t="shared" si="3"/>
        <v>3</v>
      </c>
      <c r="P29" s="13"/>
      <c r="Q29" s="12"/>
      <c r="R29" s="12">
        <f t="shared" si="4"/>
        <v>3</v>
      </c>
      <c r="S29" s="13"/>
      <c r="T29" s="12"/>
      <c r="U29" s="12">
        <f t="shared" si="5"/>
        <v>3</v>
      </c>
      <c r="V29" s="13"/>
      <c r="W29" s="12"/>
      <c r="X29" s="12">
        <f t="shared" si="6"/>
        <v>3</v>
      </c>
      <c r="Y29" s="13"/>
      <c r="Z29" s="12"/>
      <c r="AA29" s="12">
        <f t="shared" si="7"/>
        <v>3</v>
      </c>
      <c r="AB29" s="13"/>
      <c r="AC29" s="12"/>
      <c r="AD29" s="12">
        <f t="shared" si="8"/>
        <v>3</v>
      </c>
      <c r="AE29" s="13"/>
      <c r="AF29" s="12"/>
      <c r="AG29" s="12">
        <f t="shared" si="9"/>
        <v>3</v>
      </c>
      <c r="AH29" s="13"/>
      <c r="AI29" s="12"/>
      <c r="AJ29" s="12">
        <f t="shared" si="10"/>
        <v>3</v>
      </c>
      <c r="AK29" s="13"/>
      <c r="AL29" s="12"/>
      <c r="AM29" s="12">
        <f t="shared" si="11"/>
        <v>3</v>
      </c>
      <c r="AN29" s="13"/>
      <c r="AO29" s="12"/>
      <c r="AP29" s="12">
        <f t="shared" si="12"/>
        <v>3</v>
      </c>
      <c r="AQ29" s="13"/>
      <c r="AR29" s="12"/>
      <c r="AS29" s="12">
        <f t="shared" si="13"/>
        <v>3</v>
      </c>
      <c r="AT29" s="13"/>
      <c r="AU29" s="12"/>
      <c r="AV29" s="12">
        <f t="shared" si="14"/>
        <v>3</v>
      </c>
      <c r="AW29" s="13"/>
      <c r="AX29" s="12"/>
      <c r="AY29" s="12">
        <f t="shared" si="15"/>
        <v>3</v>
      </c>
      <c r="AZ29" s="13"/>
      <c r="BA29" s="12"/>
      <c r="BB29" s="12">
        <f t="shared" si="16"/>
        <v>3</v>
      </c>
      <c r="BC29" s="13"/>
      <c r="BD29" s="12"/>
      <c r="BE29" s="12">
        <f t="shared" si="17"/>
        <v>3</v>
      </c>
      <c r="BF29" s="13"/>
      <c r="BG29" s="12"/>
      <c r="BH29" s="12">
        <f t="shared" si="18"/>
        <v>3</v>
      </c>
      <c r="BI29" s="13"/>
      <c r="BJ29" s="12"/>
      <c r="BK29" s="12">
        <f t="shared" si="19"/>
        <v>3</v>
      </c>
      <c r="BL29" s="13"/>
      <c r="BM29" s="12"/>
      <c r="BN29" s="12">
        <f t="shared" si="20"/>
        <v>3</v>
      </c>
      <c r="BO29" s="13"/>
      <c r="BP29" s="14">
        <f t="shared" si="21"/>
        <v>0</v>
      </c>
      <c r="BQ29" s="14">
        <f t="shared" si="22"/>
        <v>3</v>
      </c>
    </row>
    <row r="30" ht="81.0" customHeight="1">
      <c r="A30" s="32"/>
      <c r="B30" s="9" t="s">
        <v>182</v>
      </c>
      <c r="C30" s="9" t="s">
        <v>183</v>
      </c>
      <c r="D30" s="21" t="s">
        <v>184</v>
      </c>
      <c r="E30" s="11" t="s">
        <v>35</v>
      </c>
      <c r="F30" s="11" t="s">
        <v>45</v>
      </c>
      <c r="G30" s="11">
        <v>2.0</v>
      </c>
      <c r="H30" s="12"/>
      <c r="I30" s="12"/>
      <c r="J30" s="13"/>
      <c r="K30" s="12"/>
      <c r="L30" s="12"/>
      <c r="M30" s="13"/>
      <c r="N30" s="12"/>
      <c r="O30" s="12"/>
      <c r="P30" s="13"/>
      <c r="Q30" s="12"/>
      <c r="R30" s="12"/>
      <c r="S30" s="13"/>
      <c r="T30" s="12"/>
      <c r="U30" s="12"/>
      <c r="V30" s="13"/>
      <c r="W30" s="12"/>
      <c r="X30" s="12"/>
      <c r="Y30" s="13"/>
      <c r="Z30" s="12"/>
      <c r="AA30" s="12"/>
      <c r="AB30" s="13"/>
      <c r="AC30" s="12"/>
      <c r="AD30" s="12"/>
      <c r="AE30" s="13"/>
      <c r="AF30" s="12"/>
      <c r="AG30" s="12"/>
      <c r="AH30" s="13"/>
      <c r="AI30" s="12"/>
      <c r="AJ30" s="12"/>
      <c r="AK30" s="13"/>
      <c r="AL30" s="12"/>
      <c r="AM30" s="12"/>
      <c r="AN30" s="13"/>
      <c r="AO30" s="12"/>
      <c r="AP30" s="12"/>
      <c r="AQ30" s="13"/>
      <c r="AR30" s="12"/>
      <c r="AS30" s="12"/>
      <c r="AT30" s="13"/>
      <c r="AU30" s="12"/>
      <c r="AV30" s="12"/>
      <c r="AW30" s="13"/>
      <c r="AX30" s="12"/>
      <c r="AY30" s="12"/>
      <c r="AZ30" s="13"/>
      <c r="BA30" s="12"/>
      <c r="BB30" s="12"/>
      <c r="BC30" s="13"/>
      <c r="BD30" s="12"/>
      <c r="BE30" s="12"/>
      <c r="BF30" s="13"/>
      <c r="BG30" s="12"/>
      <c r="BH30" s="12"/>
      <c r="BI30" s="13"/>
      <c r="BJ30" s="12"/>
      <c r="BK30" s="12"/>
      <c r="BL30" s="13"/>
      <c r="BM30" s="12"/>
      <c r="BN30" s="12"/>
      <c r="BO30" s="13"/>
      <c r="BP30" s="14"/>
      <c r="BQ30" s="14"/>
    </row>
    <row r="31" ht="81.0" customHeight="1">
      <c r="A31" s="32"/>
      <c r="B31" s="15"/>
      <c r="C31" s="15"/>
      <c r="D31" s="21" t="s">
        <v>186</v>
      </c>
      <c r="E31" s="11" t="s">
        <v>54</v>
      </c>
      <c r="F31" s="11" t="s">
        <v>45</v>
      </c>
      <c r="G31" s="11">
        <v>4.0</v>
      </c>
      <c r="H31" s="12"/>
      <c r="I31" s="12"/>
      <c r="J31" s="13"/>
      <c r="K31" s="12"/>
      <c r="L31" s="12"/>
      <c r="M31" s="13"/>
      <c r="N31" s="12"/>
      <c r="O31" s="12"/>
      <c r="P31" s="13"/>
      <c r="Q31" s="12"/>
      <c r="R31" s="12"/>
      <c r="S31" s="13"/>
      <c r="T31" s="12"/>
      <c r="U31" s="12"/>
      <c r="V31" s="13"/>
      <c r="W31" s="12"/>
      <c r="X31" s="12"/>
      <c r="Y31" s="13"/>
      <c r="Z31" s="12"/>
      <c r="AA31" s="12"/>
      <c r="AB31" s="13"/>
      <c r="AC31" s="12"/>
      <c r="AD31" s="12"/>
      <c r="AE31" s="13"/>
      <c r="AF31" s="12"/>
      <c r="AG31" s="12"/>
      <c r="AH31" s="13"/>
      <c r="AI31" s="12"/>
      <c r="AJ31" s="12"/>
      <c r="AK31" s="13"/>
      <c r="AL31" s="12"/>
      <c r="AM31" s="12"/>
      <c r="AN31" s="13"/>
      <c r="AO31" s="12"/>
      <c r="AP31" s="12"/>
      <c r="AQ31" s="13"/>
      <c r="AR31" s="12"/>
      <c r="AS31" s="12"/>
      <c r="AT31" s="13"/>
      <c r="AU31" s="12"/>
      <c r="AV31" s="12"/>
      <c r="AW31" s="13"/>
      <c r="AX31" s="12"/>
      <c r="AY31" s="12"/>
      <c r="AZ31" s="13"/>
      <c r="BA31" s="12"/>
      <c r="BB31" s="12"/>
      <c r="BC31" s="13"/>
      <c r="BD31" s="12"/>
      <c r="BE31" s="12"/>
      <c r="BF31" s="13"/>
      <c r="BG31" s="12"/>
      <c r="BH31" s="12"/>
      <c r="BI31" s="13"/>
      <c r="BJ31" s="12"/>
      <c r="BK31" s="12"/>
      <c r="BL31" s="13"/>
      <c r="BM31" s="12"/>
      <c r="BN31" s="12"/>
      <c r="BO31" s="13"/>
      <c r="BP31" s="14"/>
      <c r="BQ31" s="14"/>
    </row>
    <row r="32" ht="81.0" customHeight="1">
      <c r="A32" s="32"/>
      <c r="B32" s="15"/>
      <c r="C32" s="15"/>
      <c r="D32" s="21" t="s">
        <v>187</v>
      </c>
      <c r="E32" s="11" t="s">
        <v>54</v>
      </c>
      <c r="F32" s="11" t="s">
        <v>45</v>
      </c>
      <c r="G32" s="11">
        <v>5.0</v>
      </c>
      <c r="H32" s="12"/>
      <c r="I32" s="12"/>
      <c r="J32" s="13"/>
      <c r="K32" s="12"/>
      <c r="L32" s="12"/>
      <c r="M32" s="13"/>
      <c r="N32" s="12"/>
      <c r="O32" s="12"/>
      <c r="P32" s="13"/>
      <c r="Q32" s="12"/>
      <c r="R32" s="12"/>
      <c r="S32" s="13"/>
      <c r="T32" s="12"/>
      <c r="U32" s="12"/>
      <c r="V32" s="13"/>
      <c r="W32" s="12"/>
      <c r="X32" s="12"/>
      <c r="Y32" s="13"/>
      <c r="Z32" s="12"/>
      <c r="AA32" s="12"/>
      <c r="AB32" s="13"/>
      <c r="AC32" s="12"/>
      <c r="AD32" s="12"/>
      <c r="AE32" s="13"/>
      <c r="AF32" s="12"/>
      <c r="AG32" s="12"/>
      <c r="AH32" s="13"/>
      <c r="AI32" s="12"/>
      <c r="AJ32" s="12"/>
      <c r="AK32" s="13"/>
      <c r="AL32" s="12"/>
      <c r="AM32" s="12"/>
      <c r="AN32" s="13"/>
      <c r="AO32" s="12"/>
      <c r="AP32" s="12"/>
      <c r="AQ32" s="13"/>
      <c r="AR32" s="12"/>
      <c r="AS32" s="12"/>
      <c r="AT32" s="13"/>
      <c r="AU32" s="12"/>
      <c r="AV32" s="12"/>
      <c r="AW32" s="13"/>
      <c r="AX32" s="12"/>
      <c r="AY32" s="12"/>
      <c r="AZ32" s="13"/>
      <c r="BA32" s="12"/>
      <c r="BB32" s="12"/>
      <c r="BC32" s="13"/>
      <c r="BD32" s="12"/>
      <c r="BE32" s="12"/>
      <c r="BF32" s="13"/>
      <c r="BG32" s="12"/>
      <c r="BH32" s="12"/>
      <c r="BI32" s="13"/>
      <c r="BJ32" s="12"/>
      <c r="BK32" s="12"/>
      <c r="BL32" s="13"/>
      <c r="BM32" s="12"/>
      <c r="BN32" s="12"/>
      <c r="BO32" s="13"/>
      <c r="BP32" s="14"/>
      <c r="BQ32" s="14"/>
    </row>
    <row r="33" ht="81.0" customHeight="1">
      <c r="A33" s="32"/>
      <c r="B33" s="16"/>
      <c r="C33" s="16"/>
      <c r="D33" s="21" t="s">
        <v>190</v>
      </c>
      <c r="E33" s="11" t="s">
        <v>35</v>
      </c>
      <c r="F33" s="11" t="s">
        <v>45</v>
      </c>
      <c r="G33" s="11">
        <v>4.0</v>
      </c>
      <c r="H33" s="12"/>
      <c r="I33" s="12"/>
      <c r="J33" s="13"/>
      <c r="K33" s="12"/>
      <c r="L33" s="12"/>
      <c r="M33" s="13"/>
      <c r="N33" s="12"/>
      <c r="O33" s="12"/>
      <c r="P33" s="13"/>
      <c r="Q33" s="12"/>
      <c r="R33" s="12"/>
      <c r="S33" s="13"/>
      <c r="T33" s="12"/>
      <c r="U33" s="12"/>
      <c r="V33" s="13"/>
      <c r="W33" s="12"/>
      <c r="X33" s="12"/>
      <c r="Y33" s="13"/>
      <c r="Z33" s="12"/>
      <c r="AA33" s="12"/>
      <c r="AB33" s="13"/>
      <c r="AC33" s="12"/>
      <c r="AD33" s="12"/>
      <c r="AE33" s="13"/>
      <c r="AF33" s="12"/>
      <c r="AG33" s="12"/>
      <c r="AH33" s="13"/>
      <c r="AI33" s="12"/>
      <c r="AJ33" s="12"/>
      <c r="AK33" s="13"/>
      <c r="AL33" s="12"/>
      <c r="AM33" s="12"/>
      <c r="AN33" s="13"/>
      <c r="AO33" s="12"/>
      <c r="AP33" s="12"/>
      <c r="AQ33" s="13"/>
      <c r="AR33" s="12"/>
      <c r="AS33" s="12"/>
      <c r="AT33" s="13"/>
      <c r="AU33" s="12"/>
      <c r="AV33" s="12"/>
      <c r="AW33" s="13"/>
      <c r="AX33" s="12"/>
      <c r="AY33" s="12"/>
      <c r="AZ33" s="13"/>
      <c r="BA33" s="12"/>
      <c r="BB33" s="12"/>
      <c r="BC33" s="13"/>
      <c r="BD33" s="12"/>
      <c r="BE33" s="12"/>
      <c r="BF33" s="13"/>
      <c r="BG33" s="12"/>
      <c r="BH33" s="12"/>
      <c r="BI33" s="13"/>
      <c r="BJ33" s="12"/>
      <c r="BK33" s="12"/>
      <c r="BL33" s="13"/>
      <c r="BM33" s="12"/>
      <c r="BN33" s="12"/>
      <c r="BO33" s="13"/>
      <c r="BP33" s="14"/>
      <c r="BQ33" s="14"/>
    </row>
    <row r="34" ht="43.5" customHeight="1">
      <c r="A34" s="24"/>
      <c r="B34" s="25" t="s">
        <v>170</v>
      </c>
      <c r="C34" s="26"/>
      <c r="D34" s="26"/>
      <c r="E34" s="26"/>
      <c r="F34" s="27"/>
      <c r="G34" s="28">
        <f>SUM(G6:G33)</f>
        <v>120</v>
      </c>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row>
    <row r="35" ht="15.75" customHeight="1">
      <c r="A35" s="1"/>
      <c r="B35" s="29"/>
      <c r="C35" s="30"/>
      <c r="D35" s="30"/>
      <c r="E35" s="30"/>
      <c r="F35" s="31"/>
      <c r="G35" s="16"/>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37">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H4:I4"/>
    <mergeCell ref="K4:L4"/>
    <mergeCell ref="N4:O4"/>
    <mergeCell ref="Q4:R4"/>
    <mergeCell ref="T4:U4"/>
    <mergeCell ref="W4:X4"/>
    <mergeCell ref="Z4:AA4"/>
    <mergeCell ref="B18:B21"/>
    <mergeCell ref="B22:B25"/>
    <mergeCell ref="B26:B29"/>
    <mergeCell ref="B30:B33"/>
    <mergeCell ref="C22:C25"/>
    <mergeCell ref="C26:C29"/>
    <mergeCell ref="C30:C33"/>
    <mergeCell ref="B34:F35"/>
    <mergeCell ref="G34:G35"/>
    <mergeCell ref="B6:B9"/>
    <mergeCell ref="C6:C9"/>
    <mergeCell ref="B10:B13"/>
    <mergeCell ref="C10:C13"/>
    <mergeCell ref="B14:B17"/>
    <mergeCell ref="C14:C17"/>
    <mergeCell ref="C18:C2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9" t="s">
        <v>32</v>
      </c>
      <c r="C6" s="9" t="s">
        <v>33</v>
      </c>
      <c r="D6" s="11" t="s">
        <v>34</v>
      </c>
      <c r="E6" s="11" t="s">
        <v>35</v>
      </c>
      <c r="F6" s="11" t="s">
        <v>36</v>
      </c>
      <c r="G6" s="11">
        <v>2.0</v>
      </c>
      <c r="H6" s="12"/>
      <c r="I6" s="12">
        <f t="shared" ref="I6:I29" si="1">G6-H6</f>
        <v>2</v>
      </c>
      <c r="J6" s="13"/>
      <c r="K6" s="12"/>
      <c r="L6" s="12">
        <f t="shared" ref="L6:L29" si="2">I6-K6</f>
        <v>2</v>
      </c>
      <c r="M6" s="13"/>
      <c r="N6" s="12"/>
      <c r="O6" s="12">
        <f t="shared" ref="O6:O29" si="3">L6-N6</f>
        <v>2</v>
      </c>
      <c r="P6" s="13"/>
      <c r="Q6" s="12"/>
      <c r="R6" s="12">
        <f t="shared" ref="R6:R29" si="4">O6-Q6</f>
        <v>2</v>
      </c>
      <c r="S6" s="13"/>
      <c r="T6" s="12"/>
      <c r="U6" s="12">
        <f t="shared" ref="U6:U29" si="5">R6-T6</f>
        <v>2</v>
      </c>
      <c r="V6" s="13"/>
      <c r="W6" s="12"/>
      <c r="X6" s="12">
        <f t="shared" ref="X6:X29" si="6">U6-W6</f>
        <v>2</v>
      </c>
      <c r="Y6" s="13"/>
      <c r="Z6" s="12"/>
      <c r="AA6" s="12">
        <f t="shared" ref="AA6:AA29" si="7">X6-Z6</f>
        <v>2</v>
      </c>
      <c r="AB6" s="13"/>
      <c r="AC6" s="12"/>
      <c r="AD6" s="12">
        <f t="shared" ref="AD6:AD29" si="8">AA6-AC6</f>
        <v>2</v>
      </c>
      <c r="AE6" s="13"/>
      <c r="AF6" s="12"/>
      <c r="AG6" s="12">
        <f t="shared" ref="AG6:AG29" si="9">AD6-AF6</f>
        <v>2</v>
      </c>
      <c r="AH6" s="13"/>
      <c r="AI6" s="12"/>
      <c r="AJ6" s="12">
        <f t="shared" ref="AJ6:AJ29" si="10">AG6-AI6</f>
        <v>2</v>
      </c>
      <c r="AK6" s="13"/>
      <c r="AL6" s="12"/>
      <c r="AM6" s="12">
        <f t="shared" ref="AM6:AM29" si="11">AJ6-AL6</f>
        <v>2</v>
      </c>
      <c r="AN6" s="13"/>
      <c r="AO6" s="12"/>
      <c r="AP6" s="12">
        <f t="shared" ref="AP6:AP29" si="12">AM6-AO6</f>
        <v>2</v>
      </c>
      <c r="AQ6" s="13"/>
      <c r="AR6" s="12"/>
      <c r="AS6" s="12">
        <f t="shared" ref="AS6:AS29" si="13">AP6-AR6</f>
        <v>2</v>
      </c>
      <c r="AT6" s="13"/>
      <c r="AU6" s="12"/>
      <c r="AV6" s="12">
        <f t="shared" ref="AV6:AV29" si="14">AS6-AU6</f>
        <v>2</v>
      </c>
      <c r="AW6" s="13"/>
      <c r="AX6" s="12"/>
      <c r="AY6" s="12">
        <f t="shared" ref="AY6:AY29" si="15">AV6-AX6</f>
        <v>2</v>
      </c>
      <c r="AZ6" s="13"/>
      <c r="BA6" s="12"/>
      <c r="BB6" s="12">
        <f t="shared" ref="BB6:BB29" si="16">AY6-BA6</f>
        <v>2</v>
      </c>
      <c r="BC6" s="13"/>
      <c r="BD6" s="12"/>
      <c r="BE6" s="12">
        <f t="shared" ref="BE6:BE29" si="17">BB6-BD6</f>
        <v>2</v>
      </c>
      <c r="BF6" s="13"/>
      <c r="BG6" s="12"/>
      <c r="BH6" s="12">
        <f t="shared" ref="BH6:BH29" si="18">BE6-BG6</f>
        <v>2</v>
      </c>
      <c r="BI6" s="13"/>
      <c r="BJ6" s="12"/>
      <c r="BK6" s="12">
        <f t="shared" ref="BK6:BK29" si="19">BH6-BJ6</f>
        <v>2</v>
      </c>
      <c r="BL6" s="13"/>
      <c r="BM6" s="12"/>
      <c r="BN6" s="12">
        <f t="shared" ref="BN6:BN29" si="20">BK6-BM6</f>
        <v>2</v>
      </c>
      <c r="BO6" s="13"/>
      <c r="BP6" s="14">
        <f t="shared" ref="BP6:BP29" si="21">H6+K6+N6+Q6+T6+W6+Z6+AC6+AF6+AI6+AL6+AO6+AR6+AU6+AX6+BA6+BD6+BG6+BJ6+BM6</f>
        <v>0</v>
      </c>
      <c r="BQ6" s="14">
        <f t="shared" ref="BQ6:BQ29" si="22">G6-BP6</f>
        <v>2</v>
      </c>
    </row>
    <row r="7">
      <c r="A7" s="1"/>
      <c r="B7" s="15"/>
      <c r="C7" s="15"/>
      <c r="D7" s="11" t="s">
        <v>51</v>
      </c>
      <c r="E7" s="11" t="s">
        <v>49</v>
      </c>
      <c r="F7" s="11" t="s">
        <v>36</v>
      </c>
      <c r="G7" s="11">
        <v>4.0</v>
      </c>
      <c r="H7" s="12"/>
      <c r="I7" s="12">
        <f t="shared" si="1"/>
        <v>4</v>
      </c>
      <c r="J7" s="13"/>
      <c r="K7" s="12"/>
      <c r="L7" s="12">
        <f t="shared" si="2"/>
        <v>4</v>
      </c>
      <c r="M7" s="13"/>
      <c r="N7" s="12"/>
      <c r="O7" s="12">
        <f t="shared" si="3"/>
        <v>4</v>
      </c>
      <c r="P7" s="13"/>
      <c r="Q7" s="12"/>
      <c r="R7" s="12">
        <f t="shared" si="4"/>
        <v>4</v>
      </c>
      <c r="S7" s="13"/>
      <c r="T7" s="12"/>
      <c r="U7" s="12">
        <f t="shared" si="5"/>
        <v>4</v>
      </c>
      <c r="V7" s="13"/>
      <c r="W7" s="12"/>
      <c r="X7" s="12">
        <f t="shared" si="6"/>
        <v>4</v>
      </c>
      <c r="Y7" s="13"/>
      <c r="Z7" s="12"/>
      <c r="AA7" s="12">
        <f t="shared" si="7"/>
        <v>4</v>
      </c>
      <c r="AB7" s="13"/>
      <c r="AC7" s="12"/>
      <c r="AD7" s="12">
        <f t="shared" si="8"/>
        <v>4</v>
      </c>
      <c r="AE7" s="13"/>
      <c r="AF7" s="12"/>
      <c r="AG7" s="12">
        <f t="shared" si="9"/>
        <v>4</v>
      </c>
      <c r="AH7" s="13"/>
      <c r="AI7" s="12"/>
      <c r="AJ7" s="12">
        <f t="shared" si="10"/>
        <v>4</v>
      </c>
      <c r="AK7" s="13"/>
      <c r="AL7" s="12"/>
      <c r="AM7" s="12">
        <f t="shared" si="11"/>
        <v>4</v>
      </c>
      <c r="AN7" s="13"/>
      <c r="AO7" s="12"/>
      <c r="AP7" s="12">
        <f t="shared" si="12"/>
        <v>4</v>
      </c>
      <c r="AQ7" s="13"/>
      <c r="AR7" s="12"/>
      <c r="AS7" s="12">
        <f t="shared" si="13"/>
        <v>4</v>
      </c>
      <c r="AT7" s="13"/>
      <c r="AU7" s="12"/>
      <c r="AV7" s="12">
        <f t="shared" si="14"/>
        <v>4</v>
      </c>
      <c r="AW7" s="13"/>
      <c r="AX7" s="12"/>
      <c r="AY7" s="12">
        <f t="shared" si="15"/>
        <v>4</v>
      </c>
      <c r="AZ7" s="13"/>
      <c r="BA7" s="12"/>
      <c r="BB7" s="12">
        <f t="shared" si="16"/>
        <v>4</v>
      </c>
      <c r="BC7" s="13"/>
      <c r="BD7" s="12"/>
      <c r="BE7" s="12">
        <f t="shared" si="17"/>
        <v>4</v>
      </c>
      <c r="BF7" s="13"/>
      <c r="BG7" s="12"/>
      <c r="BH7" s="12">
        <f t="shared" si="18"/>
        <v>4</v>
      </c>
      <c r="BI7" s="13"/>
      <c r="BJ7" s="12"/>
      <c r="BK7" s="12">
        <f t="shared" si="19"/>
        <v>4</v>
      </c>
      <c r="BL7" s="13"/>
      <c r="BM7" s="12"/>
      <c r="BN7" s="12">
        <f t="shared" si="20"/>
        <v>4</v>
      </c>
      <c r="BO7" s="13"/>
      <c r="BP7" s="14">
        <f t="shared" si="21"/>
        <v>0</v>
      </c>
      <c r="BQ7" s="14">
        <f t="shared" si="22"/>
        <v>4</v>
      </c>
    </row>
    <row r="8">
      <c r="A8" s="1"/>
      <c r="B8" s="15"/>
      <c r="C8" s="15"/>
      <c r="D8" s="11" t="s">
        <v>55</v>
      </c>
      <c r="E8" s="11" t="s">
        <v>54</v>
      </c>
      <c r="F8" s="11" t="s">
        <v>36</v>
      </c>
      <c r="G8" s="11">
        <v>6.0</v>
      </c>
      <c r="H8" s="12"/>
      <c r="I8" s="12">
        <f t="shared" si="1"/>
        <v>6</v>
      </c>
      <c r="J8" s="13"/>
      <c r="K8" s="12"/>
      <c r="L8" s="12">
        <f t="shared" si="2"/>
        <v>6</v>
      </c>
      <c r="M8" s="13"/>
      <c r="N8" s="12"/>
      <c r="O8" s="12">
        <f t="shared" si="3"/>
        <v>6</v>
      </c>
      <c r="P8" s="13"/>
      <c r="Q8" s="12"/>
      <c r="R8" s="12">
        <f t="shared" si="4"/>
        <v>6</v>
      </c>
      <c r="S8" s="13"/>
      <c r="T8" s="12"/>
      <c r="U8" s="12">
        <f t="shared" si="5"/>
        <v>6</v>
      </c>
      <c r="V8" s="13"/>
      <c r="W8" s="12"/>
      <c r="X8" s="12">
        <f t="shared" si="6"/>
        <v>6</v>
      </c>
      <c r="Y8" s="13"/>
      <c r="Z8" s="12"/>
      <c r="AA8" s="12">
        <f t="shared" si="7"/>
        <v>6</v>
      </c>
      <c r="AB8" s="13"/>
      <c r="AC8" s="12"/>
      <c r="AD8" s="12">
        <f t="shared" si="8"/>
        <v>6</v>
      </c>
      <c r="AE8" s="13"/>
      <c r="AF8" s="12"/>
      <c r="AG8" s="12">
        <f t="shared" si="9"/>
        <v>6</v>
      </c>
      <c r="AH8" s="13"/>
      <c r="AI8" s="12"/>
      <c r="AJ8" s="12">
        <f t="shared" si="10"/>
        <v>6</v>
      </c>
      <c r="AK8" s="13"/>
      <c r="AL8" s="12"/>
      <c r="AM8" s="12">
        <f t="shared" si="11"/>
        <v>6</v>
      </c>
      <c r="AN8" s="13"/>
      <c r="AO8" s="12"/>
      <c r="AP8" s="12">
        <f t="shared" si="12"/>
        <v>6</v>
      </c>
      <c r="AQ8" s="13"/>
      <c r="AR8" s="12"/>
      <c r="AS8" s="12">
        <f t="shared" si="13"/>
        <v>6</v>
      </c>
      <c r="AT8" s="13"/>
      <c r="AU8" s="12"/>
      <c r="AV8" s="12">
        <f t="shared" si="14"/>
        <v>6</v>
      </c>
      <c r="AW8" s="13"/>
      <c r="AX8" s="12"/>
      <c r="AY8" s="12">
        <f t="shared" si="15"/>
        <v>6</v>
      </c>
      <c r="AZ8" s="13"/>
      <c r="BA8" s="12"/>
      <c r="BB8" s="12">
        <f t="shared" si="16"/>
        <v>6</v>
      </c>
      <c r="BC8" s="13"/>
      <c r="BD8" s="12"/>
      <c r="BE8" s="12">
        <f t="shared" si="17"/>
        <v>6</v>
      </c>
      <c r="BF8" s="13"/>
      <c r="BG8" s="12"/>
      <c r="BH8" s="12">
        <f t="shared" si="18"/>
        <v>6</v>
      </c>
      <c r="BI8" s="13"/>
      <c r="BJ8" s="12"/>
      <c r="BK8" s="12">
        <f t="shared" si="19"/>
        <v>6</v>
      </c>
      <c r="BL8" s="13"/>
      <c r="BM8" s="12"/>
      <c r="BN8" s="12">
        <f t="shared" si="20"/>
        <v>6</v>
      </c>
      <c r="BO8" s="13"/>
      <c r="BP8" s="14">
        <f t="shared" si="21"/>
        <v>0</v>
      </c>
      <c r="BQ8" s="14">
        <f t="shared" si="22"/>
        <v>6</v>
      </c>
    </row>
    <row r="9">
      <c r="A9" s="1"/>
      <c r="B9" s="16"/>
      <c r="C9" s="16"/>
      <c r="D9" s="11" t="s">
        <v>59</v>
      </c>
      <c r="E9" s="11" t="s">
        <v>35</v>
      </c>
      <c r="F9" s="11" t="s">
        <v>36</v>
      </c>
      <c r="G9" s="11">
        <v>2.0</v>
      </c>
      <c r="H9" s="12"/>
      <c r="I9" s="12">
        <f t="shared" si="1"/>
        <v>2</v>
      </c>
      <c r="J9" s="13"/>
      <c r="K9" s="12"/>
      <c r="L9" s="12">
        <f t="shared" si="2"/>
        <v>2</v>
      </c>
      <c r="M9" s="13"/>
      <c r="N9" s="12"/>
      <c r="O9" s="12">
        <f t="shared" si="3"/>
        <v>2</v>
      </c>
      <c r="P9" s="13"/>
      <c r="Q9" s="12"/>
      <c r="R9" s="12">
        <f t="shared" si="4"/>
        <v>2</v>
      </c>
      <c r="S9" s="13"/>
      <c r="T9" s="12"/>
      <c r="U9" s="12">
        <f t="shared" si="5"/>
        <v>2</v>
      </c>
      <c r="V9" s="13"/>
      <c r="W9" s="12"/>
      <c r="X9" s="12">
        <f t="shared" si="6"/>
        <v>2</v>
      </c>
      <c r="Y9" s="13"/>
      <c r="Z9" s="12"/>
      <c r="AA9" s="12">
        <f t="shared" si="7"/>
        <v>2</v>
      </c>
      <c r="AB9" s="13"/>
      <c r="AC9" s="12"/>
      <c r="AD9" s="12">
        <f t="shared" si="8"/>
        <v>2</v>
      </c>
      <c r="AE9" s="13"/>
      <c r="AF9" s="12"/>
      <c r="AG9" s="12">
        <f t="shared" si="9"/>
        <v>2</v>
      </c>
      <c r="AH9" s="13"/>
      <c r="AI9" s="12"/>
      <c r="AJ9" s="12">
        <f t="shared" si="10"/>
        <v>2</v>
      </c>
      <c r="AK9" s="13"/>
      <c r="AL9" s="12"/>
      <c r="AM9" s="12">
        <f t="shared" si="11"/>
        <v>2</v>
      </c>
      <c r="AN9" s="13"/>
      <c r="AO9" s="12"/>
      <c r="AP9" s="12">
        <f t="shared" si="12"/>
        <v>2</v>
      </c>
      <c r="AQ9" s="13"/>
      <c r="AR9" s="12"/>
      <c r="AS9" s="12">
        <f t="shared" si="13"/>
        <v>2</v>
      </c>
      <c r="AT9" s="13"/>
      <c r="AU9" s="12"/>
      <c r="AV9" s="12">
        <f t="shared" si="14"/>
        <v>2</v>
      </c>
      <c r="AW9" s="13"/>
      <c r="AX9" s="12"/>
      <c r="AY9" s="12">
        <f t="shared" si="15"/>
        <v>2</v>
      </c>
      <c r="AZ9" s="13"/>
      <c r="BA9" s="12"/>
      <c r="BB9" s="12">
        <f t="shared" si="16"/>
        <v>2</v>
      </c>
      <c r="BC9" s="13"/>
      <c r="BD9" s="12"/>
      <c r="BE9" s="12">
        <f t="shared" si="17"/>
        <v>2</v>
      </c>
      <c r="BF9" s="13"/>
      <c r="BG9" s="12"/>
      <c r="BH9" s="12">
        <f t="shared" si="18"/>
        <v>2</v>
      </c>
      <c r="BI9" s="13"/>
      <c r="BJ9" s="12"/>
      <c r="BK9" s="12">
        <f t="shared" si="19"/>
        <v>2</v>
      </c>
      <c r="BL9" s="13"/>
      <c r="BM9" s="12"/>
      <c r="BN9" s="12">
        <f t="shared" si="20"/>
        <v>2</v>
      </c>
      <c r="BO9" s="13"/>
      <c r="BP9" s="14">
        <f t="shared" si="21"/>
        <v>0</v>
      </c>
      <c r="BQ9" s="14">
        <f t="shared" si="22"/>
        <v>2</v>
      </c>
    </row>
    <row r="10">
      <c r="A10" s="17"/>
      <c r="B10" s="9" t="s">
        <v>62</v>
      </c>
      <c r="C10" s="9" t="s">
        <v>63</v>
      </c>
      <c r="D10" s="11" t="s">
        <v>65</v>
      </c>
      <c r="E10" s="11" t="s">
        <v>35</v>
      </c>
      <c r="F10" s="11" t="s">
        <v>36</v>
      </c>
      <c r="G10" s="11">
        <v>2.0</v>
      </c>
      <c r="H10" s="12"/>
      <c r="I10" s="12">
        <f t="shared" si="1"/>
        <v>2</v>
      </c>
      <c r="J10" s="13"/>
      <c r="K10" s="12"/>
      <c r="L10" s="12">
        <f t="shared" si="2"/>
        <v>2</v>
      </c>
      <c r="M10" s="13"/>
      <c r="N10" s="12"/>
      <c r="O10" s="12">
        <f t="shared" si="3"/>
        <v>2</v>
      </c>
      <c r="P10" s="13"/>
      <c r="Q10" s="12"/>
      <c r="R10" s="12">
        <f t="shared" si="4"/>
        <v>2</v>
      </c>
      <c r="S10" s="13"/>
      <c r="T10" s="12"/>
      <c r="U10" s="12">
        <f t="shared" si="5"/>
        <v>2</v>
      </c>
      <c r="V10" s="13"/>
      <c r="W10" s="12"/>
      <c r="X10" s="12">
        <f t="shared" si="6"/>
        <v>2</v>
      </c>
      <c r="Y10" s="13"/>
      <c r="Z10" s="12"/>
      <c r="AA10" s="12">
        <f t="shared" si="7"/>
        <v>2</v>
      </c>
      <c r="AB10" s="13"/>
      <c r="AC10" s="12"/>
      <c r="AD10" s="12">
        <f t="shared" si="8"/>
        <v>2</v>
      </c>
      <c r="AE10" s="13"/>
      <c r="AF10" s="12"/>
      <c r="AG10" s="12">
        <f t="shared" si="9"/>
        <v>2</v>
      </c>
      <c r="AH10" s="13"/>
      <c r="AI10" s="12"/>
      <c r="AJ10" s="12">
        <f t="shared" si="10"/>
        <v>2</v>
      </c>
      <c r="AK10" s="13"/>
      <c r="AL10" s="12"/>
      <c r="AM10" s="12">
        <f t="shared" si="11"/>
        <v>2</v>
      </c>
      <c r="AN10" s="13"/>
      <c r="AO10" s="12"/>
      <c r="AP10" s="12">
        <f t="shared" si="12"/>
        <v>2</v>
      </c>
      <c r="AQ10" s="13"/>
      <c r="AR10" s="12"/>
      <c r="AS10" s="12">
        <f t="shared" si="13"/>
        <v>2</v>
      </c>
      <c r="AT10" s="13"/>
      <c r="AU10" s="12"/>
      <c r="AV10" s="12">
        <f t="shared" si="14"/>
        <v>2</v>
      </c>
      <c r="AW10" s="13"/>
      <c r="AX10" s="12"/>
      <c r="AY10" s="12">
        <f t="shared" si="15"/>
        <v>2</v>
      </c>
      <c r="AZ10" s="13"/>
      <c r="BA10" s="12"/>
      <c r="BB10" s="12">
        <f t="shared" si="16"/>
        <v>2</v>
      </c>
      <c r="BC10" s="13"/>
      <c r="BD10" s="12"/>
      <c r="BE10" s="12">
        <f t="shared" si="17"/>
        <v>2</v>
      </c>
      <c r="BF10" s="13"/>
      <c r="BG10" s="12"/>
      <c r="BH10" s="12">
        <f t="shared" si="18"/>
        <v>2</v>
      </c>
      <c r="BI10" s="13"/>
      <c r="BJ10" s="12"/>
      <c r="BK10" s="12">
        <f t="shared" si="19"/>
        <v>2</v>
      </c>
      <c r="BL10" s="13"/>
      <c r="BM10" s="12"/>
      <c r="BN10" s="12">
        <f t="shared" si="20"/>
        <v>2</v>
      </c>
      <c r="BO10" s="13"/>
      <c r="BP10" s="14">
        <f t="shared" si="21"/>
        <v>0</v>
      </c>
      <c r="BQ10" s="14">
        <f t="shared" si="22"/>
        <v>2</v>
      </c>
    </row>
    <row r="11">
      <c r="A11" s="17"/>
      <c r="B11" s="15"/>
      <c r="C11" s="15"/>
      <c r="D11" s="11" t="s">
        <v>74</v>
      </c>
      <c r="E11" s="11" t="s">
        <v>49</v>
      </c>
      <c r="F11" s="11" t="s">
        <v>36</v>
      </c>
      <c r="G11" s="11">
        <v>4.0</v>
      </c>
      <c r="H11" s="12"/>
      <c r="I11" s="12">
        <f t="shared" si="1"/>
        <v>4</v>
      </c>
      <c r="J11" s="13"/>
      <c r="K11" s="12"/>
      <c r="L11" s="12">
        <f t="shared" si="2"/>
        <v>4</v>
      </c>
      <c r="M11" s="13"/>
      <c r="N11" s="12"/>
      <c r="O11" s="12">
        <f t="shared" si="3"/>
        <v>4</v>
      </c>
      <c r="P11" s="13"/>
      <c r="Q11" s="12"/>
      <c r="R11" s="12">
        <f t="shared" si="4"/>
        <v>4</v>
      </c>
      <c r="S11" s="13"/>
      <c r="T11" s="12"/>
      <c r="U11" s="12">
        <f t="shared" si="5"/>
        <v>4</v>
      </c>
      <c r="V11" s="13"/>
      <c r="W11" s="12"/>
      <c r="X11" s="12">
        <f t="shared" si="6"/>
        <v>4</v>
      </c>
      <c r="Y11" s="13"/>
      <c r="Z11" s="12"/>
      <c r="AA11" s="12">
        <f t="shared" si="7"/>
        <v>4</v>
      </c>
      <c r="AB11" s="13"/>
      <c r="AC11" s="12"/>
      <c r="AD11" s="12">
        <f t="shared" si="8"/>
        <v>4</v>
      </c>
      <c r="AE11" s="13"/>
      <c r="AF11" s="12"/>
      <c r="AG11" s="12">
        <f t="shared" si="9"/>
        <v>4</v>
      </c>
      <c r="AH11" s="13"/>
      <c r="AI11" s="12"/>
      <c r="AJ11" s="12">
        <f t="shared" si="10"/>
        <v>4</v>
      </c>
      <c r="AK11" s="13"/>
      <c r="AL11" s="12"/>
      <c r="AM11" s="12">
        <f t="shared" si="11"/>
        <v>4</v>
      </c>
      <c r="AN11" s="13"/>
      <c r="AO11" s="12"/>
      <c r="AP11" s="12">
        <f t="shared" si="12"/>
        <v>4</v>
      </c>
      <c r="AQ11" s="13"/>
      <c r="AR11" s="12"/>
      <c r="AS11" s="12">
        <f t="shared" si="13"/>
        <v>4</v>
      </c>
      <c r="AT11" s="13"/>
      <c r="AU11" s="12"/>
      <c r="AV11" s="12">
        <f t="shared" si="14"/>
        <v>4</v>
      </c>
      <c r="AW11" s="13"/>
      <c r="AX11" s="12"/>
      <c r="AY11" s="12">
        <f t="shared" si="15"/>
        <v>4</v>
      </c>
      <c r="AZ11" s="13"/>
      <c r="BA11" s="12"/>
      <c r="BB11" s="12">
        <f t="shared" si="16"/>
        <v>4</v>
      </c>
      <c r="BC11" s="13"/>
      <c r="BD11" s="12"/>
      <c r="BE11" s="12">
        <f t="shared" si="17"/>
        <v>4</v>
      </c>
      <c r="BF11" s="13"/>
      <c r="BG11" s="12"/>
      <c r="BH11" s="12">
        <f t="shared" si="18"/>
        <v>4</v>
      </c>
      <c r="BI11" s="13"/>
      <c r="BJ11" s="12"/>
      <c r="BK11" s="12">
        <f t="shared" si="19"/>
        <v>4</v>
      </c>
      <c r="BL11" s="13"/>
      <c r="BM11" s="12"/>
      <c r="BN11" s="12">
        <f t="shared" si="20"/>
        <v>4</v>
      </c>
      <c r="BO11" s="13"/>
      <c r="BP11" s="14">
        <f t="shared" si="21"/>
        <v>0</v>
      </c>
      <c r="BQ11" s="14">
        <f t="shared" si="22"/>
        <v>4</v>
      </c>
    </row>
    <row r="12">
      <c r="A12" s="17"/>
      <c r="B12" s="15"/>
      <c r="C12" s="15"/>
      <c r="D12" s="11" t="s">
        <v>78</v>
      </c>
      <c r="E12" s="11" t="s">
        <v>54</v>
      </c>
      <c r="F12" s="11" t="s">
        <v>36</v>
      </c>
      <c r="G12" s="11">
        <v>4.0</v>
      </c>
      <c r="H12" s="12"/>
      <c r="I12" s="12">
        <f t="shared" si="1"/>
        <v>4</v>
      </c>
      <c r="J12" s="13"/>
      <c r="K12" s="12"/>
      <c r="L12" s="12">
        <f t="shared" si="2"/>
        <v>4</v>
      </c>
      <c r="M12" s="13"/>
      <c r="N12" s="12"/>
      <c r="O12" s="12">
        <f t="shared" si="3"/>
        <v>4</v>
      </c>
      <c r="P12" s="13"/>
      <c r="Q12" s="12"/>
      <c r="R12" s="12">
        <f t="shared" si="4"/>
        <v>4</v>
      </c>
      <c r="S12" s="13"/>
      <c r="T12" s="12"/>
      <c r="U12" s="12">
        <f t="shared" si="5"/>
        <v>4</v>
      </c>
      <c r="V12" s="13"/>
      <c r="W12" s="12"/>
      <c r="X12" s="12">
        <f t="shared" si="6"/>
        <v>4</v>
      </c>
      <c r="Y12" s="13"/>
      <c r="Z12" s="12"/>
      <c r="AA12" s="12">
        <f t="shared" si="7"/>
        <v>4</v>
      </c>
      <c r="AB12" s="13"/>
      <c r="AC12" s="12"/>
      <c r="AD12" s="12">
        <f t="shared" si="8"/>
        <v>4</v>
      </c>
      <c r="AE12" s="13"/>
      <c r="AF12" s="12"/>
      <c r="AG12" s="12">
        <f t="shared" si="9"/>
        <v>4</v>
      </c>
      <c r="AH12" s="13"/>
      <c r="AI12" s="12"/>
      <c r="AJ12" s="12">
        <f t="shared" si="10"/>
        <v>4</v>
      </c>
      <c r="AK12" s="13"/>
      <c r="AL12" s="12"/>
      <c r="AM12" s="12">
        <f t="shared" si="11"/>
        <v>4</v>
      </c>
      <c r="AN12" s="13"/>
      <c r="AO12" s="12"/>
      <c r="AP12" s="12">
        <f t="shared" si="12"/>
        <v>4</v>
      </c>
      <c r="AQ12" s="13"/>
      <c r="AR12" s="12"/>
      <c r="AS12" s="12">
        <f t="shared" si="13"/>
        <v>4</v>
      </c>
      <c r="AT12" s="13"/>
      <c r="AU12" s="12"/>
      <c r="AV12" s="12">
        <f t="shared" si="14"/>
        <v>4</v>
      </c>
      <c r="AW12" s="13"/>
      <c r="AX12" s="12"/>
      <c r="AY12" s="12">
        <f t="shared" si="15"/>
        <v>4</v>
      </c>
      <c r="AZ12" s="13"/>
      <c r="BA12" s="12"/>
      <c r="BB12" s="12">
        <f t="shared" si="16"/>
        <v>4</v>
      </c>
      <c r="BC12" s="13"/>
      <c r="BD12" s="12"/>
      <c r="BE12" s="12">
        <f t="shared" si="17"/>
        <v>4</v>
      </c>
      <c r="BF12" s="13"/>
      <c r="BG12" s="12"/>
      <c r="BH12" s="12">
        <f t="shared" si="18"/>
        <v>4</v>
      </c>
      <c r="BI12" s="13"/>
      <c r="BJ12" s="12"/>
      <c r="BK12" s="12">
        <f t="shared" si="19"/>
        <v>4</v>
      </c>
      <c r="BL12" s="13"/>
      <c r="BM12" s="12"/>
      <c r="BN12" s="12">
        <f t="shared" si="20"/>
        <v>4</v>
      </c>
      <c r="BO12" s="13"/>
      <c r="BP12" s="14">
        <f t="shared" si="21"/>
        <v>0</v>
      </c>
      <c r="BQ12" s="14">
        <f t="shared" si="22"/>
        <v>4</v>
      </c>
    </row>
    <row r="13">
      <c r="A13" s="17"/>
      <c r="B13" s="16"/>
      <c r="C13" s="16"/>
      <c r="D13" s="11" t="s">
        <v>81</v>
      </c>
      <c r="E13" s="11" t="s">
        <v>35</v>
      </c>
      <c r="F13" s="11" t="s">
        <v>36</v>
      </c>
      <c r="G13" s="11">
        <v>3.0</v>
      </c>
      <c r="H13" s="12"/>
      <c r="I13" s="12">
        <f t="shared" si="1"/>
        <v>3</v>
      </c>
      <c r="J13" s="13"/>
      <c r="K13" s="12"/>
      <c r="L13" s="12">
        <f t="shared" si="2"/>
        <v>3</v>
      </c>
      <c r="M13" s="13"/>
      <c r="N13" s="12"/>
      <c r="O13" s="12">
        <f t="shared" si="3"/>
        <v>3</v>
      </c>
      <c r="P13" s="13"/>
      <c r="Q13" s="12"/>
      <c r="R13" s="12">
        <f t="shared" si="4"/>
        <v>3</v>
      </c>
      <c r="S13" s="13"/>
      <c r="T13" s="12"/>
      <c r="U13" s="12">
        <f t="shared" si="5"/>
        <v>3</v>
      </c>
      <c r="V13" s="13"/>
      <c r="W13" s="12"/>
      <c r="X13" s="12">
        <f t="shared" si="6"/>
        <v>3</v>
      </c>
      <c r="Y13" s="13"/>
      <c r="Z13" s="12"/>
      <c r="AA13" s="12">
        <f t="shared" si="7"/>
        <v>3</v>
      </c>
      <c r="AB13" s="13"/>
      <c r="AC13" s="12"/>
      <c r="AD13" s="12">
        <f t="shared" si="8"/>
        <v>3</v>
      </c>
      <c r="AE13" s="13"/>
      <c r="AF13" s="12"/>
      <c r="AG13" s="12">
        <f t="shared" si="9"/>
        <v>3</v>
      </c>
      <c r="AH13" s="13"/>
      <c r="AI13" s="12"/>
      <c r="AJ13" s="12">
        <f t="shared" si="10"/>
        <v>3</v>
      </c>
      <c r="AK13" s="13"/>
      <c r="AL13" s="12"/>
      <c r="AM13" s="12">
        <f t="shared" si="11"/>
        <v>3</v>
      </c>
      <c r="AN13" s="13"/>
      <c r="AO13" s="12"/>
      <c r="AP13" s="12">
        <f t="shared" si="12"/>
        <v>3</v>
      </c>
      <c r="AQ13" s="13"/>
      <c r="AR13" s="12"/>
      <c r="AS13" s="12">
        <f t="shared" si="13"/>
        <v>3</v>
      </c>
      <c r="AT13" s="13"/>
      <c r="AU13" s="12"/>
      <c r="AV13" s="12">
        <f t="shared" si="14"/>
        <v>3</v>
      </c>
      <c r="AW13" s="13"/>
      <c r="AX13" s="12"/>
      <c r="AY13" s="12">
        <f t="shared" si="15"/>
        <v>3</v>
      </c>
      <c r="AZ13" s="13"/>
      <c r="BA13" s="12"/>
      <c r="BB13" s="12">
        <f t="shared" si="16"/>
        <v>3</v>
      </c>
      <c r="BC13" s="13"/>
      <c r="BD13" s="12"/>
      <c r="BE13" s="12">
        <f t="shared" si="17"/>
        <v>3</v>
      </c>
      <c r="BF13" s="13"/>
      <c r="BG13" s="12"/>
      <c r="BH13" s="12">
        <f t="shared" si="18"/>
        <v>3</v>
      </c>
      <c r="BI13" s="13"/>
      <c r="BJ13" s="12"/>
      <c r="BK13" s="12">
        <f t="shared" si="19"/>
        <v>3</v>
      </c>
      <c r="BL13" s="13"/>
      <c r="BM13" s="12"/>
      <c r="BN13" s="12">
        <f t="shared" si="20"/>
        <v>3</v>
      </c>
      <c r="BO13" s="13"/>
      <c r="BP13" s="14">
        <f t="shared" si="21"/>
        <v>0</v>
      </c>
      <c r="BQ13" s="14">
        <f t="shared" si="22"/>
        <v>3</v>
      </c>
    </row>
    <row r="14">
      <c r="A14" s="17"/>
      <c r="B14" s="9" t="s">
        <v>85</v>
      </c>
      <c r="C14" s="9" t="s">
        <v>86</v>
      </c>
      <c r="D14" s="20" t="s">
        <v>87</v>
      </c>
      <c r="E14" s="11" t="s">
        <v>35</v>
      </c>
      <c r="F14" s="11" t="s">
        <v>36</v>
      </c>
      <c r="G14" s="11">
        <v>2.0</v>
      </c>
      <c r="H14" s="12"/>
      <c r="I14" s="12">
        <f t="shared" si="1"/>
        <v>2</v>
      </c>
      <c r="J14" s="13"/>
      <c r="K14" s="12"/>
      <c r="L14" s="12">
        <f t="shared" si="2"/>
        <v>2</v>
      </c>
      <c r="M14" s="13"/>
      <c r="N14" s="12"/>
      <c r="O14" s="12">
        <f t="shared" si="3"/>
        <v>2</v>
      </c>
      <c r="P14" s="13"/>
      <c r="Q14" s="12"/>
      <c r="R14" s="12">
        <f t="shared" si="4"/>
        <v>2</v>
      </c>
      <c r="S14" s="13"/>
      <c r="T14" s="12"/>
      <c r="U14" s="12">
        <f t="shared" si="5"/>
        <v>2</v>
      </c>
      <c r="V14" s="13"/>
      <c r="W14" s="12"/>
      <c r="X14" s="12">
        <f t="shared" si="6"/>
        <v>2</v>
      </c>
      <c r="Y14" s="13"/>
      <c r="Z14" s="12"/>
      <c r="AA14" s="12">
        <f t="shared" si="7"/>
        <v>2</v>
      </c>
      <c r="AB14" s="13"/>
      <c r="AC14" s="12"/>
      <c r="AD14" s="12">
        <f t="shared" si="8"/>
        <v>2</v>
      </c>
      <c r="AE14" s="13"/>
      <c r="AF14" s="12"/>
      <c r="AG14" s="12">
        <f t="shared" si="9"/>
        <v>2</v>
      </c>
      <c r="AH14" s="13"/>
      <c r="AI14" s="12"/>
      <c r="AJ14" s="12">
        <f t="shared" si="10"/>
        <v>2</v>
      </c>
      <c r="AK14" s="13"/>
      <c r="AL14" s="12"/>
      <c r="AM14" s="12">
        <f t="shared" si="11"/>
        <v>2</v>
      </c>
      <c r="AN14" s="13"/>
      <c r="AO14" s="12"/>
      <c r="AP14" s="12">
        <f t="shared" si="12"/>
        <v>2</v>
      </c>
      <c r="AQ14" s="13"/>
      <c r="AR14" s="12"/>
      <c r="AS14" s="12">
        <f t="shared" si="13"/>
        <v>2</v>
      </c>
      <c r="AT14" s="13"/>
      <c r="AU14" s="12"/>
      <c r="AV14" s="12">
        <f t="shared" si="14"/>
        <v>2</v>
      </c>
      <c r="AW14" s="13"/>
      <c r="AX14" s="12"/>
      <c r="AY14" s="12">
        <f t="shared" si="15"/>
        <v>2</v>
      </c>
      <c r="AZ14" s="13"/>
      <c r="BA14" s="12"/>
      <c r="BB14" s="12">
        <f t="shared" si="16"/>
        <v>2</v>
      </c>
      <c r="BC14" s="13"/>
      <c r="BD14" s="12"/>
      <c r="BE14" s="12">
        <f t="shared" si="17"/>
        <v>2</v>
      </c>
      <c r="BF14" s="13"/>
      <c r="BG14" s="12"/>
      <c r="BH14" s="12">
        <f t="shared" si="18"/>
        <v>2</v>
      </c>
      <c r="BI14" s="13"/>
      <c r="BJ14" s="12"/>
      <c r="BK14" s="12">
        <f t="shared" si="19"/>
        <v>2</v>
      </c>
      <c r="BL14" s="13"/>
      <c r="BM14" s="12"/>
      <c r="BN14" s="12">
        <f t="shared" si="20"/>
        <v>2</v>
      </c>
      <c r="BO14" s="13"/>
      <c r="BP14" s="14">
        <f t="shared" si="21"/>
        <v>0</v>
      </c>
      <c r="BQ14" s="14">
        <f t="shared" si="22"/>
        <v>2</v>
      </c>
    </row>
    <row r="15">
      <c r="A15" s="17"/>
      <c r="B15" s="15"/>
      <c r="C15" s="15"/>
      <c r="D15" s="21" t="s">
        <v>94</v>
      </c>
      <c r="E15" s="11" t="s">
        <v>54</v>
      </c>
      <c r="F15" s="11" t="s">
        <v>36</v>
      </c>
      <c r="G15" s="11">
        <v>4.0</v>
      </c>
      <c r="H15" s="12"/>
      <c r="I15" s="12">
        <f t="shared" si="1"/>
        <v>4</v>
      </c>
      <c r="J15" s="13"/>
      <c r="K15" s="12"/>
      <c r="L15" s="12">
        <f t="shared" si="2"/>
        <v>4</v>
      </c>
      <c r="M15" s="13"/>
      <c r="N15" s="12"/>
      <c r="O15" s="12">
        <f t="shared" si="3"/>
        <v>4</v>
      </c>
      <c r="P15" s="13"/>
      <c r="Q15" s="12"/>
      <c r="R15" s="12">
        <f t="shared" si="4"/>
        <v>4</v>
      </c>
      <c r="S15" s="13"/>
      <c r="T15" s="12"/>
      <c r="U15" s="12">
        <f t="shared" si="5"/>
        <v>4</v>
      </c>
      <c r="V15" s="13"/>
      <c r="W15" s="12"/>
      <c r="X15" s="12">
        <f t="shared" si="6"/>
        <v>4</v>
      </c>
      <c r="Y15" s="13"/>
      <c r="Z15" s="12"/>
      <c r="AA15" s="12">
        <f t="shared" si="7"/>
        <v>4</v>
      </c>
      <c r="AB15" s="13"/>
      <c r="AC15" s="12"/>
      <c r="AD15" s="12">
        <f t="shared" si="8"/>
        <v>4</v>
      </c>
      <c r="AE15" s="13"/>
      <c r="AF15" s="12"/>
      <c r="AG15" s="12">
        <f t="shared" si="9"/>
        <v>4</v>
      </c>
      <c r="AH15" s="13"/>
      <c r="AI15" s="12"/>
      <c r="AJ15" s="12">
        <f t="shared" si="10"/>
        <v>4</v>
      </c>
      <c r="AK15" s="13"/>
      <c r="AL15" s="12"/>
      <c r="AM15" s="12">
        <f t="shared" si="11"/>
        <v>4</v>
      </c>
      <c r="AN15" s="13"/>
      <c r="AO15" s="12"/>
      <c r="AP15" s="12">
        <f t="shared" si="12"/>
        <v>4</v>
      </c>
      <c r="AQ15" s="13"/>
      <c r="AR15" s="12"/>
      <c r="AS15" s="12">
        <f t="shared" si="13"/>
        <v>4</v>
      </c>
      <c r="AT15" s="13"/>
      <c r="AU15" s="12"/>
      <c r="AV15" s="12">
        <f t="shared" si="14"/>
        <v>4</v>
      </c>
      <c r="AW15" s="13"/>
      <c r="AX15" s="12"/>
      <c r="AY15" s="12">
        <f t="shared" si="15"/>
        <v>4</v>
      </c>
      <c r="AZ15" s="13"/>
      <c r="BA15" s="12"/>
      <c r="BB15" s="12">
        <f t="shared" si="16"/>
        <v>4</v>
      </c>
      <c r="BC15" s="13"/>
      <c r="BD15" s="12"/>
      <c r="BE15" s="12">
        <f t="shared" si="17"/>
        <v>4</v>
      </c>
      <c r="BF15" s="13"/>
      <c r="BG15" s="12"/>
      <c r="BH15" s="12">
        <f t="shared" si="18"/>
        <v>4</v>
      </c>
      <c r="BI15" s="13"/>
      <c r="BJ15" s="12"/>
      <c r="BK15" s="12">
        <f t="shared" si="19"/>
        <v>4</v>
      </c>
      <c r="BL15" s="13"/>
      <c r="BM15" s="12"/>
      <c r="BN15" s="12">
        <f t="shared" si="20"/>
        <v>4</v>
      </c>
      <c r="BO15" s="13"/>
      <c r="BP15" s="14">
        <f t="shared" si="21"/>
        <v>0</v>
      </c>
      <c r="BQ15" s="14">
        <f t="shared" si="22"/>
        <v>4</v>
      </c>
    </row>
    <row r="16">
      <c r="A16" s="17"/>
      <c r="B16" s="15"/>
      <c r="C16" s="15"/>
      <c r="D16" s="21" t="s">
        <v>100</v>
      </c>
      <c r="E16" s="11" t="s">
        <v>54</v>
      </c>
      <c r="F16" s="11" t="s">
        <v>36</v>
      </c>
      <c r="G16" s="11">
        <v>4.0</v>
      </c>
      <c r="H16" s="12"/>
      <c r="I16" s="12">
        <f t="shared" si="1"/>
        <v>4</v>
      </c>
      <c r="J16" s="13"/>
      <c r="K16" s="12"/>
      <c r="L16" s="12">
        <f t="shared" si="2"/>
        <v>4</v>
      </c>
      <c r="M16" s="13"/>
      <c r="N16" s="12"/>
      <c r="O16" s="12">
        <f t="shared" si="3"/>
        <v>4</v>
      </c>
      <c r="P16" s="13"/>
      <c r="Q16" s="12"/>
      <c r="R16" s="12">
        <f t="shared" si="4"/>
        <v>4</v>
      </c>
      <c r="S16" s="13"/>
      <c r="T16" s="12"/>
      <c r="U16" s="12">
        <f t="shared" si="5"/>
        <v>4</v>
      </c>
      <c r="V16" s="13"/>
      <c r="W16" s="12"/>
      <c r="X16" s="12">
        <f t="shared" si="6"/>
        <v>4</v>
      </c>
      <c r="Y16" s="13"/>
      <c r="Z16" s="12"/>
      <c r="AA16" s="12">
        <f t="shared" si="7"/>
        <v>4</v>
      </c>
      <c r="AB16" s="13"/>
      <c r="AC16" s="12"/>
      <c r="AD16" s="12">
        <f t="shared" si="8"/>
        <v>4</v>
      </c>
      <c r="AE16" s="13"/>
      <c r="AF16" s="12"/>
      <c r="AG16" s="12">
        <f t="shared" si="9"/>
        <v>4</v>
      </c>
      <c r="AH16" s="13"/>
      <c r="AI16" s="12"/>
      <c r="AJ16" s="12">
        <f t="shared" si="10"/>
        <v>4</v>
      </c>
      <c r="AK16" s="13"/>
      <c r="AL16" s="12"/>
      <c r="AM16" s="12">
        <f t="shared" si="11"/>
        <v>4</v>
      </c>
      <c r="AN16" s="13"/>
      <c r="AO16" s="12"/>
      <c r="AP16" s="12">
        <f t="shared" si="12"/>
        <v>4</v>
      </c>
      <c r="AQ16" s="13"/>
      <c r="AR16" s="12"/>
      <c r="AS16" s="12">
        <f t="shared" si="13"/>
        <v>4</v>
      </c>
      <c r="AT16" s="13"/>
      <c r="AU16" s="12"/>
      <c r="AV16" s="12">
        <f t="shared" si="14"/>
        <v>4</v>
      </c>
      <c r="AW16" s="13"/>
      <c r="AX16" s="12"/>
      <c r="AY16" s="12">
        <f t="shared" si="15"/>
        <v>4</v>
      </c>
      <c r="AZ16" s="13"/>
      <c r="BA16" s="12"/>
      <c r="BB16" s="12">
        <f t="shared" si="16"/>
        <v>4</v>
      </c>
      <c r="BC16" s="13"/>
      <c r="BD16" s="12"/>
      <c r="BE16" s="12">
        <f t="shared" si="17"/>
        <v>4</v>
      </c>
      <c r="BF16" s="13"/>
      <c r="BG16" s="12"/>
      <c r="BH16" s="12">
        <f t="shared" si="18"/>
        <v>4</v>
      </c>
      <c r="BI16" s="13"/>
      <c r="BJ16" s="12"/>
      <c r="BK16" s="12">
        <f t="shared" si="19"/>
        <v>4</v>
      </c>
      <c r="BL16" s="13"/>
      <c r="BM16" s="12"/>
      <c r="BN16" s="12">
        <f t="shared" si="20"/>
        <v>4</v>
      </c>
      <c r="BO16" s="13"/>
      <c r="BP16" s="14">
        <f t="shared" si="21"/>
        <v>0</v>
      </c>
      <c r="BQ16" s="14">
        <f t="shared" si="22"/>
        <v>4</v>
      </c>
    </row>
    <row r="17" ht="71.25" customHeight="1">
      <c r="A17" s="17"/>
      <c r="B17" s="16"/>
      <c r="C17" s="16"/>
      <c r="D17" s="21" t="s">
        <v>102</v>
      </c>
      <c r="E17" s="11" t="s">
        <v>35</v>
      </c>
      <c r="F17" s="11" t="s">
        <v>36</v>
      </c>
      <c r="G17" s="11">
        <v>3.0</v>
      </c>
      <c r="H17" s="12"/>
      <c r="I17" s="12">
        <f t="shared" si="1"/>
        <v>3</v>
      </c>
      <c r="J17" s="13"/>
      <c r="K17" s="12"/>
      <c r="L17" s="12">
        <f t="shared" si="2"/>
        <v>3</v>
      </c>
      <c r="M17" s="13"/>
      <c r="N17" s="12"/>
      <c r="O17" s="12">
        <f t="shared" si="3"/>
        <v>3</v>
      </c>
      <c r="P17" s="13"/>
      <c r="Q17" s="12"/>
      <c r="R17" s="12">
        <f t="shared" si="4"/>
        <v>3</v>
      </c>
      <c r="S17" s="13"/>
      <c r="T17" s="12"/>
      <c r="U17" s="12">
        <f t="shared" si="5"/>
        <v>3</v>
      </c>
      <c r="V17" s="13"/>
      <c r="W17" s="12"/>
      <c r="X17" s="12">
        <f t="shared" si="6"/>
        <v>3</v>
      </c>
      <c r="Y17" s="13"/>
      <c r="Z17" s="12"/>
      <c r="AA17" s="12">
        <f t="shared" si="7"/>
        <v>3</v>
      </c>
      <c r="AB17" s="13"/>
      <c r="AC17" s="12"/>
      <c r="AD17" s="12">
        <f t="shared" si="8"/>
        <v>3</v>
      </c>
      <c r="AE17" s="13"/>
      <c r="AF17" s="12"/>
      <c r="AG17" s="12">
        <f t="shared" si="9"/>
        <v>3</v>
      </c>
      <c r="AH17" s="13"/>
      <c r="AI17" s="12"/>
      <c r="AJ17" s="12">
        <f t="shared" si="10"/>
        <v>3</v>
      </c>
      <c r="AK17" s="13"/>
      <c r="AL17" s="12"/>
      <c r="AM17" s="12">
        <f t="shared" si="11"/>
        <v>3</v>
      </c>
      <c r="AN17" s="13"/>
      <c r="AO17" s="12"/>
      <c r="AP17" s="12">
        <f t="shared" si="12"/>
        <v>3</v>
      </c>
      <c r="AQ17" s="13"/>
      <c r="AR17" s="12"/>
      <c r="AS17" s="12">
        <f t="shared" si="13"/>
        <v>3</v>
      </c>
      <c r="AT17" s="13"/>
      <c r="AU17" s="12"/>
      <c r="AV17" s="12">
        <f t="shared" si="14"/>
        <v>3</v>
      </c>
      <c r="AW17" s="13"/>
      <c r="AX17" s="12"/>
      <c r="AY17" s="12">
        <f t="shared" si="15"/>
        <v>3</v>
      </c>
      <c r="AZ17" s="13"/>
      <c r="BA17" s="12"/>
      <c r="BB17" s="12">
        <f t="shared" si="16"/>
        <v>3</v>
      </c>
      <c r="BC17" s="13"/>
      <c r="BD17" s="12"/>
      <c r="BE17" s="12">
        <f t="shared" si="17"/>
        <v>3</v>
      </c>
      <c r="BF17" s="13"/>
      <c r="BG17" s="12"/>
      <c r="BH17" s="12">
        <f t="shared" si="18"/>
        <v>3</v>
      </c>
      <c r="BI17" s="13"/>
      <c r="BJ17" s="12"/>
      <c r="BK17" s="12">
        <f t="shared" si="19"/>
        <v>3</v>
      </c>
      <c r="BL17" s="13"/>
      <c r="BM17" s="12"/>
      <c r="BN17" s="12">
        <f t="shared" si="20"/>
        <v>3</v>
      </c>
      <c r="BO17" s="13"/>
      <c r="BP17" s="14">
        <f t="shared" si="21"/>
        <v>0</v>
      </c>
      <c r="BQ17" s="14">
        <f t="shared" si="22"/>
        <v>3</v>
      </c>
    </row>
    <row r="18" ht="55.5" customHeight="1">
      <c r="A18" s="17"/>
      <c r="B18" s="9" t="s">
        <v>105</v>
      </c>
      <c r="C18" s="9" t="s">
        <v>106</v>
      </c>
      <c r="D18" s="22" t="s">
        <v>107</v>
      </c>
      <c r="E18" s="11" t="s">
        <v>35</v>
      </c>
      <c r="F18" s="11" t="s">
        <v>36</v>
      </c>
      <c r="G18" s="11">
        <v>2.0</v>
      </c>
      <c r="H18" s="12"/>
      <c r="I18" s="12">
        <f t="shared" si="1"/>
        <v>2</v>
      </c>
      <c r="J18" s="13"/>
      <c r="K18" s="12"/>
      <c r="L18" s="12">
        <f t="shared" si="2"/>
        <v>2</v>
      </c>
      <c r="M18" s="13"/>
      <c r="N18" s="12"/>
      <c r="O18" s="12">
        <f t="shared" si="3"/>
        <v>2</v>
      </c>
      <c r="P18" s="13"/>
      <c r="Q18" s="12"/>
      <c r="R18" s="12">
        <f t="shared" si="4"/>
        <v>2</v>
      </c>
      <c r="S18" s="13"/>
      <c r="T18" s="12"/>
      <c r="U18" s="12">
        <f t="shared" si="5"/>
        <v>2</v>
      </c>
      <c r="V18" s="13"/>
      <c r="W18" s="12"/>
      <c r="X18" s="12">
        <f t="shared" si="6"/>
        <v>2</v>
      </c>
      <c r="Y18" s="13"/>
      <c r="Z18" s="12"/>
      <c r="AA18" s="12">
        <f t="shared" si="7"/>
        <v>2</v>
      </c>
      <c r="AB18" s="13"/>
      <c r="AC18" s="12"/>
      <c r="AD18" s="12">
        <f t="shared" si="8"/>
        <v>2</v>
      </c>
      <c r="AE18" s="13"/>
      <c r="AF18" s="12"/>
      <c r="AG18" s="12">
        <f t="shared" si="9"/>
        <v>2</v>
      </c>
      <c r="AH18" s="13"/>
      <c r="AI18" s="12"/>
      <c r="AJ18" s="12">
        <f t="shared" si="10"/>
        <v>2</v>
      </c>
      <c r="AK18" s="13"/>
      <c r="AL18" s="12"/>
      <c r="AM18" s="12">
        <f t="shared" si="11"/>
        <v>2</v>
      </c>
      <c r="AN18" s="13"/>
      <c r="AO18" s="12"/>
      <c r="AP18" s="12">
        <f t="shared" si="12"/>
        <v>2</v>
      </c>
      <c r="AQ18" s="13"/>
      <c r="AR18" s="12"/>
      <c r="AS18" s="12">
        <f t="shared" si="13"/>
        <v>2</v>
      </c>
      <c r="AT18" s="13"/>
      <c r="AU18" s="12"/>
      <c r="AV18" s="12">
        <f t="shared" si="14"/>
        <v>2</v>
      </c>
      <c r="AW18" s="13"/>
      <c r="AX18" s="12"/>
      <c r="AY18" s="12">
        <f t="shared" si="15"/>
        <v>2</v>
      </c>
      <c r="AZ18" s="13"/>
      <c r="BA18" s="12"/>
      <c r="BB18" s="12">
        <f t="shared" si="16"/>
        <v>2</v>
      </c>
      <c r="BC18" s="13"/>
      <c r="BD18" s="12"/>
      <c r="BE18" s="12">
        <f t="shared" si="17"/>
        <v>2</v>
      </c>
      <c r="BF18" s="13"/>
      <c r="BG18" s="12"/>
      <c r="BH18" s="12">
        <f t="shared" si="18"/>
        <v>2</v>
      </c>
      <c r="BI18" s="13"/>
      <c r="BJ18" s="12"/>
      <c r="BK18" s="12">
        <f t="shared" si="19"/>
        <v>2</v>
      </c>
      <c r="BL18" s="13"/>
      <c r="BM18" s="12"/>
      <c r="BN18" s="12">
        <f t="shared" si="20"/>
        <v>2</v>
      </c>
      <c r="BO18" s="13"/>
      <c r="BP18" s="14">
        <f t="shared" si="21"/>
        <v>0</v>
      </c>
      <c r="BQ18" s="14">
        <f t="shared" si="22"/>
        <v>2</v>
      </c>
    </row>
    <row r="19" ht="75.75" customHeight="1">
      <c r="A19" s="17"/>
      <c r="B19" s="15"/>
      <c r="C19" s="15"/>
      <c r="D19" s="22" t="s">
        <v>111</v>
      </c>
      <c r="E19" s="11" t="s">
        <v>54</v>
      </c>
      <c r="F19" s="11" t="s">
        <v>36</v>
      </c>
      <c r="G19" s="11">
        <v>3.0</v>
      </c>
      <c r="H19" s="12"/>
      <c r="I19" s="12">
        <f t="shared" si="1"/>
        <v>3</v>
      </c>
      <c r="J19" s="13"/>
      <c r="K19" s="12"/>
      <c r="L19" s="12">
        <f t="shared" si="2"/>
        <v>3</v>
      </c>
      <c r="M19" s="13"/>
      <c r="N19" s="12"/>
      <c r="O19" s="12">
        <f t="shared" si="3"/>
        <v>3</v>
      </c>
      <c r="P19" s="13"/>
      <c r="Q19" s="12"/>
      <c r="R19" s="12">
        <f t="shared" si="4"/>
        <v>3</v>
      </c>
      <c r="S19" s="13"/>
      <c r="T19" s="12"/>
      <c r="U19" s="12">
        <f t="shared" si="5"/>
        <v>3</v>
      </c>
      <c r="V19" s="13"/>
      <c r="W19" s="12"/>
      <c r="X19" s="12">
        <f t="shared" si="6"/>
        <v>3</v>
      </c>
      <c r="Y19" s="13"/>
      <c r="Z19" s="12"/>
      <c r="AA19" s="12">
        <f t="shared" si="7"/>
        <v>3</v>
      </c>
      <c r="AB19" s="13"/>
      <c r="AC19" s="12"/>
      <c r="AD19" s="12">
        <f t="shared" si="8"/>
        <v>3</v>
      </c>
      <c r="AE19" s="13"/>
      <c r="AF19" s="12"/>
      <c r="AG19" s="12">
        <f t="shared" si="9"/>
        <v>3</v>
      </c>
      <c r="AH19" s="13"/>
      <c r="AI19" s="12"/>
      <c r="AJ19" s="12">
        <f t="shared" si="10"/>
        <v>3</v>
      </c>
      <c r="AK19" s="13"/>
      <c r="AL19" s="12"/>
      <c r="AM19" s="12">
        <f t="shared" si="11"/>
        <v>3</v>
      </c>
      <c r="AN19" s="13"/>
      <c r="AO19" s="12"/>
      <c r="AP19" s="12">
        <f t="shared" si="12"/>
        <v>3</v>
      </c>
      <c r="AQ19" s="13"/>
      <c r="AR19" s="12"/>
      <c r="AS19" s="12">
        <f t="shared" si="13"/>
        <v>3</v>
      </c>
      <c r="AT19" s="13"/>
      <c r="AU19" s="12"/>
      <c r="AV19" s="12">
        <f t="shared" si="14"/>
        <v>3</v>
      </c>
      <c r="AW19" s="13"/>
      <c r="AX19" s="12"/>
      <c r="AY19" s="12">
        <f t="shared" si="15"/>
        <v>3</v>
      </c>
      <c r="AZ19" s="13"/>
      <c r="BA19" s="12"/>
      <c r="BB19" s="12">
        <f t="shared" si="16"/>
        <v>3</v>
      </c>
      <c r="BC19" s="13"/>
      <c r="BD19" s="12"/>
      <c r="BE19" s="12">
        <f t="shared" si="17"/>
        <v>3</v>
      </c>
      <c r="BF19" s="13"/>
      <c r="BG19" s="12"/>
      <c r="BH19" s="12">
        <f t="shared" si="18"/>
        <v>3</v>
      </c>
      <c r="BI19" s="13"/>
      <c r="BJ19" s="12"/>
      <c r="BK19" s="12">
        <f t="shared" si="19"/>
        <v>3</v>
      </c>
      <c r="BL19" s="13"/>
      <c r="BM19" s="12"/>
      <c r="BN19" s="12">
        <f t="shared" si="20"/>
        <v>3</v>
      </c>
      <c r="BO19" s="13"/>
      <c r="BP19" s="14">
        <f t="shared" si="21"/>
        <v>0</v>
      </c>
      <c r="BQ19" s="14">
        <f t="shared" si="22"/>
        <v>3</v>
      </c>
    </row>
    <row r="20" ht="72.75" customHeight="1">
      <c r="A20" s="17"/>
      <c r="B20" s="15"/>
      <c r="C20" s="15"/>
      <c r="D20" s="22" t="s">
        <v>117</v>
      </c>
      <c r="E20" s="11" t="s">
        <v>54</v>
      </c>
      <c r="F20" s="11" t="s">
        <v>36</v>
      </c>
      <c r="G20" s="11">
        <v>3.0</v>
      </c>
      <c r="H20" s="12"/>
      <c r="I20" s="12">
        <f t="shared" si="1"/>
        <v>3</v>
      </c>
      <c r="J20" s="13"/>
      <c r="K20" s="12"/>
      <c r="L20" s="12">
        <f t="shared" si="2"/>
        <v>3</v>
      </c>
      <c r="M20" s="13"/>
      <c r="N20" s="12"/>
      <c r="O20" s="12">
        <f t="shared" si="3"/>
        <v>3</v>
      </c>
      <c r="P20" s="13"/>
      <c r="Q20" s="12"/>
      <c r="R20" s="12">
        <f t="shared" si="4"/>
        <v>3</v>
      </c>
      <c r="S20" s="13"/>
      <c r="T20" s="12"/>
      <c r="U20" s="12">
        <f t="shared" si="5"/>
        <v>3</v>
      </c>
      <c r="V20" s="13"/>
      <c r="W20" s="12"/>
      <c r="X20" s="12">
        <f t="shared" si="6"/>
        <v>3</v>
      </c>
      <c r="Y20" s="13"/>
      <c r="Z20" s="12"/>
      <c r="AA20" s="12">
        <f t="shared" si="7"/>
        <v>3</v>
      </c>
      <c r="AB20" s="13"/>
      <c r="AC20" s="12"/>
      <c r="AD20" s="12">
        <f t="shared" si="8"/>
        <v>3</v>
      </c>
      <c r="AE20" s="13"/>
      <c r="AF20" s="12"/>
      <c r="AG20" s="12">
        <f t="shared" si="9"/>
        <v>3</v>
      </c>
      <c r="AH20" s="13"/>
      <c r="AI20" s="12"/>
      <c r="AJ20" s="12">
        <f t="shared" si="10"/>
        <v>3</v>
      </c>
      <c r="AK20" s="13"/>
      <c r="AL20" s="12"/>
      <c r="AM20" s="12">
        <f t="shared" si="11"/>
        <v>3</v>
      </c>
      <c r="AN20" s="13"/>
      <c r="AO20" s="12"/>
      <c r="AP20" s="12">
        <f t="shared" si="12"/>
        <v>3</v>
      </c>
      <c r="AQ20" s="13"/>
      <c r="AR20" s="12"/>
      <c r="AS20" s="12">
        <f t="shared" si="13"/>
        <v>3</v>
      </c>
      <c r="AT20" s="13"/>
      <c r="AU20" s="12"/>
      <c r="AV20" s="12">
        <f t="shared" si="14"/>
        <v>3</v>
      </c>
      <c r="AW20" s="13"/>
      <c r="AX20" s="12"/>
      <c r="AY20" s="12">
        <f t="shared" si="15"/>
        <v>3</v>
      </c>
      <c r="AZ20" s="13"/>
      <c r="BA20" s="12"/>
      <c r="BB20" s="12">
        <f t="shared" si="16"/>
        <v>3</v>
      </c>
      <c r="BC20" s="13"/>
      <c r="BD20" s="12"/>
      <c r="BE20" s="12">
        <f t="shared" si="17"/>
        <v>3</v>
      </c>
      <c r="BF20" s="13"/>
      <c r="BG20" s="12"/>
      <c r="BH20" s="12">
        <f t="shared" si="18"/>
        <v>3</v>
      </c>
      <c r="BI20" s="13"/>
      <c r="BJ20" s="12"/>
      <c r="BK20" s="12">
        <f t="shared" si="19"/>
        <v>3</v>
      </c>
      <c r="BL20" s="13"/>
      <c r="BM20" s="12"/>
      <c r="BN20" s="12">
        <f t="shared" si="20"/>
        <v>3</v>
      </c>
      <c r="BO20" s="13"/>
      <c r="BP20" s="14">
        <f t="shared" si="21"/>
        <v>0</v>
      </c>
      <c r="BQ20" s="14">
        <f t="shared" si="22"/>
        <v>3</v>
      </c>
    </row>
    <row r="21" ht="56.25" customHeight="1">
      <c r="A21" s="17"/>
      <c r="B21" s="16"/>
      <c r="C21" s="16"/>
      <c r="D21" s="22" t="s">
        <v>123</v>
      </c>
      <c r="E21" s="11" t="s">
        <v>35</v>
      </c>
      <c r="F21" s="11" t="s">
        <v>36</v>
      </c>
      <c r="G21" s="11">
        <v>2.0</v>
      </c>
      <c r="H21" s="12"/>
      <c r="I21" s="12">
        <f t="shared" si="1"/>
        <v>2</v>
      </c>
      <c r="J21" s="13"/>
      <c r="K21" s="12"/>
      <c r="L21" s="12">
        <f t="shared" si="2"/>
        <v>2</v>
      </c>
      <c r="M21" s="13"/>
      <c r="N21" s="12"/>
      <c r="O21" s="12">
        <f t="shared" si="3"/>
        <v>2</v>
      </c>
      <c r="P21" s="13"/>
      <c r="Q21" s="12"/>
      <c r="R21" s="12">
        <f t="shared" si="4"/>
        <v>2</v>
      </c>
      <c r="S21" s="13"/>
      <c r="T21" s="12"/>
      <c r="U21" s="12">
        <f t="shared" si="5"/>
        <v>2</v>
      </c>
      <c r="V21" s="13"/>
      <c r="W21" s="12"/>
      <c r="X21" s="12">
        <f t="shared" si="6"/>
        <v>2</v>
      </c>
      <c r="Y21" s="13"/>
      <c r="Z21" s="12"/>
      <c r="AA21" s="12">
        <f t="shared" si="7"/>
        <v>2</v>
      </c>
      <c r="AB21" s="13"/>
      <c r="AC21" s="12"/>
      <c r="AD21" s="12">
        <f t="shared" si="8"/>
        <v>2</v>
      </c>
      <c r="AE21" s="13"/>
      <c r="AF21" s="12"/>
      <c r="AG21" s="12">
        <f t="shared" si="9"/>
        <v>2</v>
      </c>
      <c r="AH21" s="13"/>
      <c r="AI21" s="12"/>
      <c r="AJ21" s="12">
        <f t="shared" si="10"/>
        <v>2</v>
      </c>
      <c r="AK21" s="13"/>
      <c r="AL21" s="12"/>
      <c r="AM21" s="12">
        <f t="shared" si="11"/>
        <v>2</v>
      </c>
      <c r="AN21" s="13"/>
      <c r="AO21" s="12"/>
      <c r="AP21" s="12">
        <f t="shared" si="12"/>
        <v>2</v>
      </c>
      <c r="AQ21" s="13"/>
      <c r="AR21" s="12"/>
      <c r="AS21" s="12">
        <f t="shared" si="13"/>
        <v>2</v>
      </c>
      <c r="AT21" s="13"/>
      <c r="AU21" s="12"/>
      <c r="AV21" s="12">
        <f t="shared" si="14"/>
        <v>2</v>
      </c>
      <c r="AW21" s="13"/>
      <c r="AX21" s="12"/>
      <c r="AY21" s="12">
        <f t="shared" si="15"/>
        <v>2</v>
      </c>
      <c r="AZ21" s="13"/>
      <c r="BA21" s="12"/>
      <c r="BB21" s="12">
        <f t="shared" si="16"/>
        <v>2</v>
      </c>
      <c r="BC21" s="13"/>
      <c r="BD21" s="12"/>
      <c r="BE21" s="12">
        <f t="shared" si="17"/>
        <v>2</v>
      </c>
      <c r="BF21" s="13"/>
      <c r="BG21" s="12"/>
      <c r="BH21" s="12">
        <f t="shared" si="18"/>
        <v>2</v>
      </c>
      <c r="BI21" s="13"/>
      <c r="BJ21" s="12"/>
      <c r="BK21" s="12">
        <f t="shared" si="19"/>
        <v>2</v>
      </c>
      <c r="BL21" s="13"/>
      <c r="BM21" s="12"/>
      <c r="BN21" s="12">
        <f t="shared" si="20"/>
        <v>2</v>
      </c>
      <c r="BO21" s="13"/>
      <c r="BP21" s="14">
        <f t="shared" si="21"/>
        <v>0</v>
      </c>
      <c r="BQ21" s="14">
        <f t="shared" si="22"/>
        <v>2</v>
      </c>
    </row>
    <row r="22" ht="87.75" customHeight="1">
      <c r="A22" s="17"/>
      <c r="B22" s="9" t="s">
        <v>128</v>
      </c>
      <c r="C22" s="9" t="s">
        <v>129</v>
      </c>
      <c r="D22" s="20" t="s">
        <v>130</v>
      </c>
      <c r="E22" s="11" t="s">
        <v>35</v>
      </c>
      <c r="F22" s="11" t="s">
        <v>36</v>
      </c>
      <c r="G22" s="11">
        <v>2.0</v>
      </c>
      <c r="H22" s="12"/>
      <c r="I22" s="12">
        <f t="shared" si="1"/>
        <v>2</v>
      </c>
      <c r="J22" s="13"/>
      <c r="K22" s="12"/>
      <c r="L22" s="12">
        <f t="shared" si="2"/>
        <v>2</v>
      </c>
      <c r="M22" s="13"/>
      <c r="N22" s="12"/>
      <c r="O22" s="12">
        <f t="shared" si="3"/>
        <v>2</v>
      </c>
      <c r="P22" s="13"/>
      <c r="Q22" s="12"/>
      <c r="R22" s="12">
        <f t="shared" si="4"/>
        <v>2</v>
      </c>
      <c r="S22" s="13"/>
      <c r="T22" s="12"/>
      <c r="U22" s="12">
        <f t="shared" si="5"/>
        <v>2</v>
      </c>
      <c r="V22" s="13"/>
      <c r="W22" s="12"/>
      <c r="X22" s="12">
        <f t="shared" si="6"/>
        <v>2</v>
      </c>
      <c r="Y22" s="13"/>
      <c r="Z22" s="12"/>
      <c r="AA22" s="12">
        <f t="shared" si="7"/>
        <v>2</v>
      </c>
      <c r="AB22" s="13"/>
      <c r="AC22" s="12"/>
      <c r="AD22" s="12">
        <f t="shared" si="8"/>
        <v>2</v>
      </c>
      <c r="AE22" s="13"/>
      <c r="AF22" s="12"/>
      <c r="AG22" s="12">
        <f t="shared" si="9"/>
        <v>2</v>
      </c>
      <c r="AH22" s="13"/>
      <c r="AI22" s="12"/>
      <c r="AJ22" s="12">
        <f t="shared" si="10"/>
        <v>2</v>
      </c>
      <c r="AK22" s="13"/>
      <c r="AL22" s="12"/>
      <c r="AM22" s="12">
        <f t="shared" si="11"/>
        <v>2</v>
      </c>
      <c r="AN22" s="13"/>
      <c r="AO22" s="12"/>
      <c r="AP22" s="12">
        <f t="shared" si="12"/>
        <v>2</v>
      </c>
      <c r="AQ22" s="13"/>
      <c r="AR22" s="12"/>
      <c r="AS22" s="12">
        <f t="shared" si="13"/>
        <v>2</v>
      </c>
      <c r="AT22" s="13"/>
      <c r="AU22" s="12"/>
      <c r="AV22" s="12">
        <f t="shared" si="14"/>
        <v>2</v>
      </c>
      <c r="AW22" s="13"/>
      <c r="AX22" s="12"/>
      <c r="AY22" s="12">
        <f t="shared" si="15"/>
        <v>2</v>
      </c>
      <c r="AZ22" s="13"/>
      <c r="BA22" s="12"/>
      <c r="BB22" s="12">
        <f t="shared" si="16"/>
        <v>2</v>
      </c>
      <c r="BC22" s="13"/>
      <c r="BD22" s="12"/>
      <c r="BE22" s="12">
        <f t="shared" si="17"/>
        <v>2</v>
      </c>
      <c r="BF22" s="13"/>
      <c r="BG22" s="12"/>
      <c r="BH22" s="12">
        <f t="shared" si="18"/>
        <v>2</v>
      </c>
      <c r="BI22" s="13"/>
      <c r="BJ22" s="12"/>
      <c r="BK22" s="12">
        <f t="shared" si="19"/>
        <v>2</v>
      </c>
      <c r="BL22" s="13"/>
      <c r="BM22" s="12"/>
      <c r="BN22" s="12">
        <f t="shared" si="20"/>
        <v>2</v>
      </c>
      <c r="BO22" s="13"/>
      <c r="BP22" s="14">
        <f t="shared" si="21"/>
        <v>0</v>
      </c>
      <c r="BQ22" s="14">
        <f t="shared" si="22"/>
        <v>2</v>
      </c>
    </row>
    <row r="23" ht="60.0" customHeight="1">
      <c r="A23" s="17"/>
      <c r="B23" s="15"/>
      <c r="C23" s="15"/>
      <c r="D23" s="21" t="s">
        <v>134</v>
      </c>
      <c r="E23" s="11" t="s">
        <v>54</v>
      </c>
      <c r="F23" s="11" t="s">
        <v>36</v>
      </c>
      <c r="G23" s="11">
        <v>4.0</v>
      </c>
      <c r="H23" s="12"/>
      <c r="I23" s="12">
        <f t="shared" si="1"/>
        <v>4</v>
      </c>
      <c r="J23" s="13"/>
      <c r="K23" s="12"/>
      <c r="L23" s="12">
        <f t="shared" si="2"/>
        <v>4</v>
      </c>
      <c r="M23" s="13"/>
      <c r="N23" s="12"/>
      <c r="O23" s="12">
        <f t="shared" si="3"/>
        <v>4</v>
      </c>
      <c r="P23" s="13"/>
      <c r="Q23" s="12"/>
      <c r="R23" s="12">
        <f t="shared" si="4"/>
        <v>4</v>
      </c>
      <c r="S23" s="13"/>
      <c r="T23" s="12"/>
      <c r="U23" s="12">
        <f t="shared" si="5"/>
        <v>4</v>
      </c>
      <c r="V23" s="13"/>
      <c r="W23" s="12"/>
      <c r="X23" s="12">
        <f t="shared" si="6"/>
        <v>4</v>
      </c>
      <c r="Y23" s="13"/>
      <c r="Z23" s="12"/>
      <c r="AA23" s="12">
        <f t="shared" si="7"/>
        <v>4</v>
      </c>
      <c r="AB23" s="13"/>
      <c r="AC23" s="12"/>
      <c r="AD23" s="12">
        <f t="shared" si="8"/>
        <v>4</v>
      </c>
      <c r="AE23" s="13"/>
      <c r="AF23" s="12"/>
      <c r="AG23" s="12">
        <f t="shared" si="9"/>
        <v>4</v>
      </c>
      <c r="AH23" s="13"/>
      <c r="AI23" s="12"/>
      <c r="AJ23" s="12">
        <f t="shared" si="10"/>
        <v>4</v>
      </c>
      <c r="AK23" s="13"/>
      <c r="AL23" s="12"/>
      <c r="AM23" s="12">
        <f t="shared" si="11"/>
        <v>4</v>
      </c>
      <c r="AN23" s="13"/>
      <c r="AO23" s="12"/>
      <c r="AP23" s="12">
        <f t="shared" si="12"/>
        <v>4</v>
      </c>
      <c r="AQ23" s="13"/>
      <c r="AR23" s="12"/>
      <c r="AS23" s="12">
        <f t="shared" si="13"/>
        <v>4</v>
      </c>
      <c r="AT23" s="13"/>
      <c r="AU23" s="12"/>
      <c r="AV23" s="12">
        <f t="shared" si="14"/>
        <v>4</v>
      </c>
      <c r="AW23" s="13"/>
      <c r="AX23" s="12"/>
      <c r="AY23" s="12">
        <f t="shared" si="15"/>
        <v>4</v>
      </c>
      <c r="AZ23" s="13"/>
      <c r="BA23" s="12"/>
      <c r="BB23" s="12">
        <f t="shared" si="16"/>
        <v>4</v>
      </c>
      <c r="BC23" s="13"/>
      <c r="BD23" s="12"/>
      <c r="BE23" s="12">
        <f t="shared" si="17"/>
        <v>4</v>
      </c>
      <c r="BF23" s="13"/>
      <c r="BG23" s="12"/>
      <c r="BH23" s="12">
        <f t="shared" si="18"/>
        <v>4</v>
      </c>
      <c r="BI23" s="13"/>
      <c r="BJ23" s="12"/>
      <c r="BK23" s="12">
        <f t="shared" si="19"/>
        <v>4</v>
      </c>
      <c r="BL23" s="13"/>
      <c r="BM23" s="12"/>
      <c r="BN23" s="12">
        <f t="shared" si="20"/>
        <v>4</v>
      </c>
      <c r="BO23" s="13"/>
      <c r="BP23" s="14">
        <f t="shared" si="21"/>
        <v>0</v>
      </c>
      <c r="BQ23" s="14">
        <f t="shared" si="22"/>
        <v>4</v>
      </c>
    </row>
    <row r="24" ht="68.25" customHeight="1">
      <c r="A24" s="17"/>
      <c r="B24" s="15"/>
      <c r="C24" s="15"/>
      <c r="D24" s="21" t="s">
        <v>138</v>
      </c>
      <c r="E24" s="11" t="s">
        <v>54</v>
      </c>
      <c r="F24" s="11" t="s">
        <v>36</v>
      </c>
      <c r="G24" s="11">
        <v>4.0</v>
      </c>
      <c r="H24" s="12"/>
      <c r="I24" s="12">
        <f t="shared" si="1"/>
        <v>4</v>
      </c>
      <c r="J24" s="13"/>
      <c r="K24" s="12"/>
      <c r="L24" s="12">
        <f t="shared" si="2"/>
        <v>4</v>
      </c>
      <c r="M24" s="13"/>
      <c r="N24" s="12"/>
      <c r="O24" s="12">
        <f t="shared" si="3"/>
        <v>4</v>
      </c>
      <c r="P24" s="13"/>
      <c r="Q24" s="12"/>
      <c r="R24" s="12">
        <f t="shared" si="4"/>
        <v>4</v>
      </c>
      <c r="S24" s="13"/>
      <c r="T24" s="12"/>
      <c r="U24" s="12">
        <f t="shared" si="5"/>
        <v>4</v>
      </c>
      <c r="V24" s="13"/>
      <c r="W24" s="12"/>
      <c r="X24" s="12">
        <f t="shared" si="6"/>
        <v>4</v>
      </c>
      <c r="Y24" s="13"/>
      <c r="Z24" s="12"/>
      <c r="AA24" s="12">
        <f t="shared" si="7"/>
        <v>4</v>
      </c>
      <c r="AB24" s="13"/>
      <c r="AC24" s="12"/>
      <c r="AD24" s="12">
        <f t="shared" si="8"/>
        <v>4</v>
      </c>
      <c r="AE24" s="13"/>
      <c r="AF24" s="12"/>
      <c r="AG24" s="12">
        <f t="shared" si="9"/>
        <v>4</v>
      </c>
      <c r="AH24" s="13"/>
      <c r="AI24" s="12"/>
      <c r="AJ24" s="12">
        <f t="shared" si="10"/>
        <v>4</v>
      </c>
      <c r="AK24" s="13"/>
      <c r="AL24" s="12"/>
      <c r="AM24" s="12">
        <f t="shared" si="11"/>
        <v>4</v>
      </c>
      <c r="AN24" s="13"/>
      <c r="AO24" s="12"/>
      <c r="AP24" s="12">
        <f t="shared" si="12"/>
        <v>4</v>
      </c>
      <c r="AQ24" s="13"/>
      <c r="AR24" s="12"/>
      <c r="AS24" s="12">
        <f t="shared" si="13"/>
        <v>4</v>
      </c>
      <c r="AT24" s="13"/>
      <c r="AU24" s="12"/>
      <c r="AV24" s="12">
        <f t="shared" si="14"/>
        <v>4</v>
      </c>
      <c r="AW24" s="13"/>
      <c r="AX24" s="12"/>
      <c r="AY24" s="12">
        <f t="shared" si="15"/>
        <v>4</v>
      </c>
      <c r="AZ24" s="13"/>
      <c r="BA24" s="12"/>
      <c r="BB24" s="12">
        <f t="shared" si="16"/>
        <v>4</v>
      </c>
      <c r="BC24" s="13"/>
      <c r="BD24" s="12"/>
      <c r="BE24" s="12">
        <f t="shared" si="17"/>
        <v>4</v>
      </c>
      <c r="BF24" s="13"/>
      <c r="BG24" s="12"/>
      <c r="BH24" s="12">
        <f t="shared" si="18"/>
        <v>4</v>
      </c>
      <c r="BI24" s="13"/>
      <c r="BJ24" s="12"/>
      <c r="BK24" s="12">
        <f t="shared" si="19"/>
        <v>4</v>
      </c>
      <c r="BL24" s="13"/>
      <c r="BM24" s="12"/>
      <c r="BN24" s="12">
        <f t="shared" si="20"/>
        <v>4</v>
      </c>
      <c r="BO24" s="13"/>
      <c r="BP24" s="14">
        <f t="shared" si="21"/>
        <v>0</v>
      </c>
      <c r="BQ24" s="14">
        <f t="shared" si="22"/>
        <v>4</v>
      </c>
    </row>
    <row r="25" ht="96.0" customHeight="1">
      <c r="A25" s="17"/>
      <c r="B25" s="16"/>
      <c r="C25" s="16"/>
      <c r="D25" s="21" t="s">
        <v>142</v>
      </c>
      <c r="E25" s="11" t="s">
        <v>35</v>
      </c>
      <c r="F25" s="11" t="s">
        <v>36</v>
      </c>
      <c r="G25" s="11">
        <v>3.0</v>
      </c>
      <c r="H25" s="12"/>
      <c r="I25" s="12">
        <f t="shared" si="1"/>
        <v>3</v>
      </c>
      <c r="J25" s="13"/>
      <c r="K25" s="12"/>
      <c r="L25" s="12">
        <f t="shared" si="2"/>
        <v>3</v>
      </c>
      <c r="M25" s="13"/>
      <c r="N25" s="12"/>
      <c r="O25" s="12">
        <f t="shared" si="3"/>
        <v>3</v>
      </c>
      <c r="P25" s="13"/>
      <c r="Q25" s="12"/>
      <c r="R25" s="12">
        <f t="shared" si="4"/>
        <v>3</v>
      </c>
      <c r="S25" s="13"/>
      <c r="T25" s="12"/>
      <c r="U25" s="12">
        <f t="shared" si="5"/>
        <v>3</v>
      </c>
      <c r="V25" s="13"/>
      <c r="W25" s="12"/>
      <c r="X25" s="12">
        <f t="shared" si="6"/>
        <v>3</v>
      </c>
      <c r="Y25" s="13"/>
      <c r="Z25" s="12"/>
      <c r="AA25" s="12">
        <f t="shared" si="7"/>
        <v>3</v>
      </c>
      <c r="AB25" s="13"/>
      <c r="AC25" s="12"/>
      <c r="AD25" s="12">
        <f t="shared" si="8"/>
        <v>3</v>
      </c>
      <c r="AE25" s="13"/>
      <c r="AF25" s="12"/>
      <c r="AG25" s="12">
        <f t="shared" si="9"/>
        <v>3</v>
      </c>
      <c r="AH25" s="13"/>
      <c r="AI25" s="12"/>
      <c r="AJ25" s="12">
        <f t="shared" si="10"/>
        <v>3</v>
      </c>
      <c r="AK25" s="13"/>
      <c r="AL25" s="12"/>
      <c r="AM25" s="12">
        <f t="shared" si="11"/>
        <v>3</v>
      </c>
      <c r="AN25" s="13"/>
      <c r="AO25" s="12"/>
      <c r="AP25" s="12">
        <f t="shared" si="12"/>
        <v>3</v>
      </c>
      <c r="AQ25" s="13"/>
      <c r="AR25" s="12"/>
      <c r="AS25" s="12">
        <f t="shared" si="13"/>
        <v>3</v>
      </c>
      <c r="AT25" s="13"/>
      <c r="AU25" s="12"/>
      <c r="AV25" s="12">
        <f t="shared" si="14"/>
        <v>3</v>
      </c>
      <c r="AW25" s="13"/>
      <c r="AX25" s="12"/>
      <c r="AY25" s="12">
        <f t="shared" si="15"/>
        <v>3</v>
      </c>
      <c r="AZ25" s="13"/>
      <c r="BA25" s="12"/>
      <c r="BB25" s="12">
        <f t="shared" si="16"/>
        <v>3</v>
      </c>
      <c r="BC25" s="13"/>
      <c r="BD25" s="12"/>
      <c r="BE25" s="12">
        <f t="shared" si="17"/>
        <v>3</v>
      </c>
      <c r="BF25" s="13"/>
      <c r="BG25" s="12"/>
      <c r="BH25" s="12">
        <f t="shared" si="18"/>
        <v>3</v>
      </c>
      <c r="BI25" s="13"/>
      <c r="BJ25" s="12"/>
      <c r="BK25" s="12">
        <f t="shared" si="19"/>
        <v>3</v>
      </c>
      <c r="BL25" s="13"/>
      <c r="BM25" s="12"/>
      <c r="BN25" s="12">
        <f t="shared" si="20"/>
        <v>3</v>
      </c>
      <c r="BO25" s="13"/>
      <c r="BP25" s="14">
        <f t="shared" si="21"/>
        <v>0</v>
      </c>
      <c r="BQ25" s="14">
        <f t="shared" si="22"/>
        <v>3</v>
      </c>
    </row>
    <row r="26" ht="55.5" customHeight="1">
      <c r="A26" s="17"/>
      <c r="B26" s="9" t="s">
        <v>147</v>
      </c>
      <c r="C26" s="9" t="s">
        <v>148</v>
      </c>
      <c r="D26" s="20" t="s">
        <v>149</v>
      </c>
      <c r="E26" s="11" t="s">
        <v>35</v>
      </c>
      <c r="F26" s="11" t="s">
        <v>36</v>
      </c>
      <c r="G26" s="11">
        <v>2.0</v>
      </c>
      <c r="H26" s="12"/>
      <c r="I26" s="12">
        <f t="shared" si="1"/>
        <v>2</v>
      </c>
      <c r="J26" s="13"/>
      <c r="K26" s="12"/>
      <c r="L26" s="12">
        <f t="shared" si="2"/>
        <v>2</v>
      </c>
      <c r="M26" s="13"/>
      <c r="N26" s="12"/>
      <c r="O26" s="12">
        <f t="shared" si="3"/>
        <v>2</v>
      </c>
      <c r="P26" s="13"/>
      <c r="Q26" s="12"/>
      <c r="R26" s="12">
        <f t="shared" si="4"/>
        <v>2</v>
      </c>
      <c r="S26" s="13"/>
      <c r="T26" s="12"/>
      <c r="U26" s="12">
        <f t="shared" si="5"/>
        <v>2</v>
      </c>
      <c r="V26" s="13"/>
      <c r="W26" s="12"/>
      <c r="X26" s="12">
        <f t="shared" si="6"/>
        <v>2</v>
      </c>
      <c r="Y26" s="13"/>
      <c r="Z26" s="12"/>
      <c r="AA26" s="12">
        <f t="shared" si="7"/>
        <v>2</v>
      </c>
      <c r="AB26" s="13"/>
      <c r="AC26" s="12"/>
      <c r="AD26" s="12">
        <f t="shared" si="8"/>
        <v>2</v>
      </c>
      <c r="AE26" s="13"/>
      <c r="AF26" s="12"/>
      <c r="AG26" s="12">
        <f t="shared" si="9"/>
        <v>2</v>
      </c>
      <c r="AH26" s="13"/>
      <c r="AI26" s="12"/>
      <c r="AJ26" s="12">
        <f t="shared" si="10"/>
        <v>2</v>
      </c>
      <c r="AK26" s="13"/>
      <c r="AL26" s="12"/>
      <c r="AM26" s="12">
        <f t="shared" si="11"/>
        <v>2</v>
      </c>
      <c r="AN26" s="13"/>
      <c r="AO26" s="12"/>
      <c r="AP26" s="12">
        <f t="shared" si="12"/>
        <v>2</v>
      </c>
      <c r="AQ26" s="13"/>
      <c r="AR26" s="12"/>
      <c r="AS26" s="12">
        <f t="shared" si="13"/>
        <v>2</v>
      </c>
      <c r="AT26" s="13"/>
      <c r="AU26" s="12"/>
      <c r="AV26" s="12">
        <f t="shared" si="14"/>
        <v>2</v>
      </c>
      <c r="AW26" s="13"/>
      <c r="AX26" s="12"/>
      <c r="AY26" s="12">
        <f t="shared" si="15"/>
        <v>2</v>
      </c>
      <c r="AZ26" s="13"/>
      <c r="BA26" s="12"/>
      <c r="BB26" s="12">
        <f t="shared" si="16"/>
        <v>2</v>
      </c>
      <c r="BC26" s="13"/>
      <c r="BD26" s="12"/>
      <c r="BE26" s="12">
        <f t="shared" si="17"/>
        <v>2</v>
      </c>
      <c r="BF26" s="13"/>
      <c r="BG26" s="12"/>
      <c r="BH26" s="12">
        <f t="shared" si="18"/>
        <v>2</v>
      </c>
      <c r="BI26" s="13"/>
      <c r="BJ26" s="12"/>
      <c r="BK26" s="12">
        <f t="shared" si="19"/>
        <v>2</v>
      </c>
      <c r="BL26" s="13"/>
      <c r="BM26" s="12"/>
      <c r="BN26" s="12">
        <f t="shared" si="20"/>
        <v>2</v>
      </c>
      <c r="BO26" s="13"/>
      <c r="BP26" s="14">
        <f t="shared" si="21"/>
        <v>0</v>
      </c>
      <c r="BQ26" s="14">
        <f t="shared" si="22"/>
        <v>2</v>
      </c>
    </row>
    <row r="27" ht="90.75" customHeight="1">
      <c r="A27" s="17"/>
      <c r="B27" s="15"/>
      <c r="C27" s="15"/>
      <c r="D27" s="21" t="s">
        <v>155</v>
      </c>
      <c r="E27" s="11" t="s">
        <v>54</v>
      </c>
      <c r="F27" s="11" t="s">
        <v>36</v>
      </c>
      <c r="G27" s="11">
        <v>3.0</v>
      </c>
      <c r="H27" s="12"/>
      <c r="I27" s="12">
        <f t="shared" si="1"/>
        <v>3</v>
      </c>
      <c r="J27" s="13"/>
      <c r="K27" s="12"/>
      <c r="L27" s="12">
        <f t="shared" si="2"/>
        <v>3</v>
      </c>
      <c r="M27" s="13"/>
      <c r="N27" s="12"/>
      <c r="O27" s="12">
        <f t="shared" si="3"/>
        <v>3</v>
      </c>
      <c r="P27" s="13"/>
      <c r="Q27" s="12"/>
      <c r="R27" s="12">
        <f t="shared" si="4"/>
        <v>3</v>
      </c>
      <c r="S27" s="13"/>
      <c r="T27" s="12"/>
      <c r="U27" s="12">
        <f t="shared" si="5"/>
        <v>3</v>
      </c>
      <c r="V27" s="13"/>
      <c r="W27" s="12"/>
      <c r="X27" s="12">
        <f t="shared" si="6"/>
        <v>3</v>
      </c>
      <c r="Y27" s="13"/>
      <c r="Z27" s="12"/>
      <c r="AA27" s="12">
        <f t="shared" si="7"/>
        <v>3</v>
      </c>
      <c r="AB27" s="13"/>
      <c r="AC27" s="12"/>
      <c r="AD27" s="12">
        <f t="shared" si="8"/>
        <v>3</v>
      </c>
      <c r="AE27" s="13"/>
      <c r="AF27" s="12"/>
      <c r="AG27" s="12">
        <f t="shared" si="9"/>
        <v>3</v>
      </c>
      <c r="AH27" s="13"/>
      <c r="AI27" s="12"/>
      <c r="AJ27" s="12">
        <f t="shared" si="10"/>
        <v>3</v>
      </c>
      <c r="AK27" s="13"/>
      <c r="AL27" s="12"/>
      <c r="AM27" s="12">
        <f t="shared" si="11"/>
        <v>3</v>
      </c>
      <c r="AN27" s="13"/>
      <c r="AO27" s="12"/>
      <c r="AP27" s="12">
        <f t="shared" si="12"/>
        <v>3</v>
      </c>
      <c r="AQ27" s="13"/>
      <c r="AR27" s="12"/>
      <c r="AS27" s="12">
        <f t="shared" si="13"/>
        <v>3</v>
      </c>
      <c r="AT27" s="13"/>
      <c r="AU27" s="12"/>
      <c r="AV27" s="12">
        <f t="shared" si="14"/>
        <v>3</v>
      </c>
      <c r="AW27" s="13"/>
      <c r="AX27" s="12"/>
      <c r="AY27" s="12">
        <f t="shared" si="15"/>
        <v>3</v>
      </c>
      <c r="AZ27" s="13"/>
      <c r="BA27" s="12"/>
      <c r="BB27" s="12">
        <f t="shared" si="16"/>
        <v>3</v>
      </c>
      <c r="BC27" s="13"/>
      <c r="BD27" s="12"/>
      <c r="BE27" s="12">
        <f t="shared" si="17"/>
        <v>3</v>
      </c>
      <c r="BF27" s="13"/>
      <c r="BG27" s="12"/>
      <c r="BH27" s="12">
        <f t="shared" si="18"/>
        <v>3</v>
      </c>
      <c r="BI27" s="13"/>
      <c r="BJ27" s="12"/>
      <c r="BK27" s="12">
        <f t="shared" si="19"/>
        <v>3</v>
      </c>
      <c r="BL27" s="13"/>
      <c r="BM27" s="12"/>
      <c r="BN27" s="12">
        <f t="shared" si="20"/>
        <v>3</v>
      </c>
      <c r="BO27" s="13"/>
      <c r="BP27" s="14">
        <f t="shared" si="21"/>
        <v>0</v>
      </c>
      <c r="BQ27" s="14">
        <f t="shared" si="22"/>
        <v>3</v>
      </c>
    </row>
    <row r="28" ht="58.5" customHeight="1">
      <c r="A28" s="17"/>
      <c r="B28" s="15"/>
      <c r="C28" s="15"/>
      <c r="D28" s="21" t="s">
        <v>159</v>
      </c>
      <c r="E28" s="11" t="s">
        <v>54</v>
      </c>
      <c r="F28" s="11" t="s">
        <v>36</v>
      </c>
      <c r="G28" s="11">
        <v>10.0</v>
      </c>
      <c r="H28" s="12"/>
      <c r="I28" s="12">
        <f t="shared" si="1"/>
        <v>10</v>
      </c>
      <c r="J28" s="13"/>
      <c r="K28" s="12"/>
      <c r="L28" s="12">
        <f t="shared" si="2"/>
        <v>10</v>
      </c>
      <c r="M28" s="13"/>
      <c r="N28" s="12"/>
      <c r="O28" s="12">
        <f t="shared" si="3"/>
        <v>10</v>
      </c>
      <c r="P28" s="13"/>
      <c r="Q28" s="12"/>
      <c r="R28" s="12">
        <f t="shared" si="4"/>
        <v>10</v>
      </c>
      <c r="S28" s="13"/>
      <c r="T28" s="12"/>
      <c r="U28" s="12">
        <f t="shared" si="5"/>
        <v>10</v>
      </c>
      <c r="V28" s="13"/>
      <c r="W28" s="12"/>
      <c r="X28" s="12">
        <f t="shared" si="6"/>
        <v>10</v>
      </c>
      <c r="Y28" s="13"/>
      <c r="Z28" s="12"/>
      <c r="AA28" s="12">
        <f t="shared" si="7"/>
        <v>10</v>
      </c>
      <c r="AB28" s="13"/>
      <c r="AC28" s="12"/>
      <c r="AD28" s="12">
        <f t="shared" si="8"/>
        <v>10</v>
      </c>
      <c r="AE28" s="13"/>
      <c r="AF28" s="12"/>
      <c r="AG28" s="12">
        <f t="shared" si="9"/>
        <v>10</v>
      </c>
      <c r="AH28" s="13"/>
      <c r="AI28" s="12"/>
      <c r="AJ28" s="12">
        <f t="shared" si="10"/>
        <v>10</v>
      </c>
      <c r="AK28" s="13"/>
      <c r="AL28" s="12"/>
      <c r="AM28" s="12">
        <f t="shared" si="11"/>
        <v>10</v>
      </c>
      <c r="AN28" s="13"/>
      <c r="AO28" s="12"/>
      <c r="AP28" s="12">
        <f t="shared" si="12"/>
        <v>10</v>
      </c>
      <c r="AQ28" s="13"/>
      <c r="AR28" s="12"/>
      <c r="AS28" s="12">
        <f t="shared" si="13"/>
        <v>10</v>
      </c>
      <c r="AT28" s="13"/>
      <c r="AU28" s="12"/>
      <c r="AV28" s="12">
        <f t="shared" si="14"/>
        <v>10</v>
      </c>
      <c r="AW28" s="13"/>
      <c r="AX28" s="12"/>
      <c r="AY28" s="12">
        <f t="shared" si="15"/>
        <v>10</v>
      </c>
      <c r="AZ28" s="13"/>
      <c r="BA28" s="12"/>
      <c r="BB28" s="12">
        <f t="shared" si="16"/>
        <v>10</v>
      </c>
      <c r="BC28" s="13"/>
      <c r="BD28" s="12"/>
      <c r="BE28" s="12">
        <f t="shared" si="17"/>
        <v>10</v>
      </c>
      <c r="BF28" s="13"/>
      <c r="BG28" s="12"/>
      <c r="BH28" s="12">
        <f t="shared" si="18"/>
        <v>10</v>
      </c>
      <c r="BI28" s="13"/>
      <c r="BJ28" s="12"/>
      <c r="BK28" s="12">
        <f t="shared" si="19"/>
        <v>10</v>
      </c>
      <c r="BL28" s="13"/>
      <c r="BM28" s="12"/>
      <c r="BN28" s="12">
        <f t="shared" si="20"/>
        <v>10</v>
      </c>
      <c r="BO28" s="13"/>
      <c r="BP28" s="14">
        <f t="shared" si="21"/>
        <v>0</v>
      </c>
      <c r="BQ28" s="14">
        <f t="shared" si="22"/>
        <v>10</v>
      </c>
    </row>
    <row r="29" ht="81.0" customHeight="1">
      <c r="A29" s="23"/>
      <c r="B29" s="16"/>
      <c r="C29" s="16"/>
      <c r="D29" s="21" t="s">
        <v>165</v>
      </c>
      <c r="E29" s="11" t="s">
        <v>35</v>
      </c>
      <c r="F29" s="11" t="s">
        <v>36</v>
      </c>
      <c r="G29" s="11">
        <v>2.0</v>
      </c>
      <c r="H29" s="12"/>
      <c r="I29" s="12">
        <f t="shared" si="1"/>
        <v>2</v>
      </c>
      <c r="J29" s="13"/>
      <c r="K29" s="12"/>
      <c r="L29" s="12">
        <f t="shared" si="2"/>
        <v>2</v>
      </c>
      <c r="M29" s="13"/>
      <c r="N29" s="12"/>
      <c r="O29" s="12">
        <f t="shared" si="3"/>
        <v>2</v>
      </c>
      <c r="P29" s="13"/>
      <c r="Q29" s="12"/>
      <c r="R29" s="12">
        <f t="shared" si="4"/>
        <v>2</v>
      </c>
      <c r="S29" s="13"/>
      <c r="T29" s="12"/>
      <c r="U29" s="12">
        <f t="shared" si="5"/>
        <v>2</v>
      </c>
      <c r="V29" s="13"/>
      <c r="W29" s="12"/>
      <c r="X29" s="12">
        <f t="shared" si="6"/>
        <v>2</v>
      </c>
      <c r="Y29" s="13"/>
      <c r="Z29" s="12"/>
      <c r="AA29" s="12">
        <f t="shared" si="7"/>
        <v>2</v>
      </c>
      <c r="AB29" s="13"/>
      <c r="AC29" s="12"/>
      <c r="AD29" s="12">
        <f t="shared" si="8"/>
        <v>2</v>
      </c>
      <c r="AE29" s="13"/>
      <c r="AF29" s="12"/>
      <c r="AG29" s="12">
        <f t="shared" si="9"/>
        <v>2</v>
      </c>
      <c r="AH29" s="13"/>
      <c r="AI29" s="12"/>
      <c r="AJ29" s="12">
        <f t="shared" si="10"/>
        <v>2</v>
      </c>
      <c r="AK29" s="13"/>
      <c r="AL29" s="12"/>
      <c r="AM29" s="12">
        <f t="shared" si="11"/>
        <v>2</v>
      </c>
      <c r="AN29" s="13"/>
      <c r="AO29" s="12"/>
      <c r="AP29" s="12">
        <f t="shared" si="12"/>
        <v>2</v>
      </c>
      <c r="AQ29" s="13"/>
      <c r="AR29" s="12"/>
      <c r="AS29" s="12">
        <f t="shared" si="13"/>
        <v>2</v>
      </c>
      <c r="AT29" s="13"/>
      <c r="AU29" s="12"/>
      <c r="AV29" s="12">
        <f t="shared" si="14"/>
        <v>2</v>
      </c>
      <c r="AW29" s="13"/>
      <c r="AX29" s="12"/>
      <c r="AY29" s="12">
        <f t="shared" si="15"/>
        <v>2</v>
      </c>
      <c r="AZ29" s="13"/>
      <c r="BA29" s="12"/>
      <c r="BB29" s="12">
        <f t="shared" si="16"/>
        <v>2</v>
      </c>
      <c r="BC29" s="13"/>
      <c r="BD29" s="12"/>
      <c r="BE29" s="12">
        <f t="shared" si="17"/>
        <v>2</v>
      </c>
      <c r="BF29" s="13"/>
      <c r="BG29" s="12"/>
      <c r="BH29" s="12">
        <f t="shared" si="18"/>
        <v>2</v>
      </c>
      <c r="BI29" s="13"/>
      <c r="BJ29" s="12"/>
      <c r="BK29" s="12">
        <f t="shared" si="19"/>
        <v>2</v>
      </c>
      <c r="BL29" s="13"/>
      <c r="BM29" s="12"/>
      <c r="BN29" s="12">
        <f t="shared" si="20"/>
        <v>2</v>
      </c>
      <c r="BO29" s="13"/>
      <c r="BP29" s="14">
        <f t="shared" si="21"/>
        <v>0</v>
      </c>
      <c r="BQ29" s="14">
        <f t="shared" si="22"/>
        <v>2</v>
      </c>
    </row>
    <row r="30" ht="43.5" customHeight="1">
      <c r="A30" s="24"/>
      <c r="B30" s="25" t="s">
        <v>170</v>
      </c>
      <c r="C30" s="26"/>
      <c r="D30" s="26"/>
      <c r="E30" s="26"/>
      <c r="F30" s="27"/>
      <c r="G30" s="28">
        <f>SUM(G6:G29)</f>
        <v>80</v>
      </c>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row>
    <row r="31" ht="15.75" customHeight="1">
      <c r="A31" s="1"/>
      <c r="B31" s="29"/>
      <c r="C31" s="30"/>
      <c r="D31" s="30"/>
      <c r="E31" s="30"/>
      <c r="F31" s="31"/>
      <c r="G31" s="16"/>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sheetData>
  <mergeCells count="35">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H4:I4"/>
    <mergeCell ref="K4:L4"/>
    <mergeCell ref="N4:O4"/>
    <mergeCell ref="Q4:R4"/>
    <mergeCell ref="T4:U4"/>
    <mergeCell ref="W4:X4"/>
    <mergeCell ref="Z4:AA4"/>
    <mergeCell ref="B18:B21"/>
    <mergeCell ref="B22:B25"/>
    <mergeCell ref="B26:B29"/>
    <mergeCell ref="C22:C25"/>
    <mergeCell ref="C26:C29"/>
    <mergeCell ref="B30:F31"/>
    <mergeCell ref="G30:G31"/>
    <mergeCell ref="B6:B9"/>
    <mergeCell ref="C6:C9"/>
    <mergeCell ref="B10:B13"/>
    <mergeCell ref="C10:C13"/>
    <mergeCell ref="B14:B17"/>
    <mergeCell ref="C14:C17"/>
    <mergeCell ref="C18:C2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9" t="s">
        <v>37</v>
      </c>
      <c r="C6" s="9" t="s">
        <v>38</v>
      </c>
      <c r="D6" s="11" t="s">
        <v>39</v>
      </c>
      <c r="E6" s="11" t="s">
        <v>35</v>
      </c>
      <c r="F6" s="11" t="s">
        <v>40</v>
      </c>
      <c r="G6" s="11">
        <v>2.0</v>
      </c>
      <c r="H6" s="12"/>
      <c r="I6" s="12">
        <f t="shared" ref="I6:I29" si="1">G6-H6</f>
        <v>2</v>
      </c>
      <c r="J6" s="13"/>
      <c r="K6" s="12"/>
      <c r="L6" s="12">
        <f t="shared" ref="L6:L29" si="2">I6-K6</f>
        <v>2</v>
      </c>
      <c r="M6" s="13"/>
      <c r="N6" s="12"/>
      <c r="O6" s="12">
        <f t="shared" ref="O6:O29" si="3">L6-N6</f>
        <v>2</v>
      </c>
      <c r="P6" s="13"/>
      <c r="Q6" s="12"/>
      <c r="R6" s="12">
        <f t="shared" ref="R6:R29" si="4">O6-Q6</f>
        <v>2</v>
      </c>
      <c r="S6" s="13"/>
      <c r="T6" s="12"/>
      <c r="U6" s="12">
        <f t="shared" ref="U6:U29" si="5">R6-T6</f>
        <v>2</v>
      </c>
      <c r="V6" s="13"/>
      <c r="W6" s="12"/>
      <c r="X6" s="12">
        <f t="shared" ref="X6:X29" si="6">U6-W6</f>
        <v>2</v>
      </c>
      <c r="Y6" s="13"/>
      <c r="Z6" s="12"/>
      <c r="AA6" s="12">
        <f t="shared" ref="AA6:AA29" si="7">X6-Z6</f>
        <v>2</v>
      </c>
      <c r="AB6" s="13"/>
      <c r="AC6" s="12"/>
      <c r="AD6" s="12">
        <f t="shared" ref="AD6:AD29" si="8">AA6-AC6</f>
        <v>2</v>
      </c>
      <c r="AE6" s="13"/>
      <c r="AF6" s="12"/>
      <c r="AG6" s="12">
        <f t="shared" ref="AG6:AG29" si="9">AD6-AF6</f>
        <v>2</v>
      </c>
      <c r="AH6" s="13"/>
      <c r="AI6" s="12"/>
      <c r="AJ6" s="12">
        <f t="shared" ref="AJ6:AJ29" si="10">AG6-AI6</f>
        <v>2</v>
      </c>
      <c r="AK6" s="13"/>
      <c r="AL6" s="12"/>
      <c r="AM6" s="12">
        <f t="shared" ref="AM6:AM29" si="11">AJ6-AL6</f>
        <v>2</v>
      </c>
      <c r="AN6" s="13"/>
      <c r="AO6" s="12"/>
      <c r="AP6" s="12">
        <f t="shared" ref="AP6:AP29" si="12">AM6-AO6</f>
        <v>2</v>
      </c>
      <c r="AQ6" s="13"/>
      <c r="AR6" s="12"/>
      <c r="AS6" s="12">
        <f t="shared" ref="AS6:AS29" si="13">AP6-AR6</f>
        <v>2</v>
      </c>
      <c r="AT6" s="13"/>
      <c r="AU6" s="12"/>
      <c r="AV6" s="12">
        <f t="shared" ref="AV6:AV29" si="14">AS6-AU6</f>
        <v>2</v>
      </c>
      <c r="AW6" s="13"/>
      <c r="AX6" s="12"/>
      <c r="AY6" s="12">
        <f t="shared" ref="AY6:AY29" si="15">AV6-AX6</f>
        <v>2</v>
      </c>
      <c r="AZ6" s="13"/>
      <c r="BA6" s="12"/>
      <c r="BB6" s="12">
        <f t="shared" ref="BB6:BB29" si="16">AY6-BA6</f>
        <v>2</v>
      </c>
      <c r="BC6" s="13"/>
      <c r="BD6" s="12"/>
      <c r="BE6" s="12">
        <f t="shared" ref="BE6:BE29" si="17">BB6-BD6</f>
        <v>2</v>
      </c>
      <c r="BF6" s="13"/>
      <c r="BG6" s="12"/>
      <c r="BH6" s="12">
        <f t="shared" ref="BH6:BH29" si="18">BE6-BG6</f>
        <v>2</v>
      </c>
      <c r="BI6" s="13"/>
      <c r="BJ6" s="12"/>
      <c r="BK6" s="12">
        <f t="shared" ref="BK6:BK29" si="19">BH6-BJ6</f>
        <v>2</v>
      </c>
      <c r="BL6" s="13"/>
      <c r="BM6" s="12"/>
      <c r="BN6" s="12">
        <f t="shared" ref="BN6:BN29" si="20">BK6-BM6</f>
        <v>2</v>
      </c>
      <c r="BO6" s="13"/>
      <c r="BP6" s="14">
        <f t="shared" ref="BP6:BP29" si="21">H6+K6+N6+Q6+T6+W6+Z6+AC6+AF6+AI6+AL6+AO6+AR6+AU6+AX6+BA6+BD6+BG6+BJ6+BM6</f>
        <v>0</v>
      </c>
      <c r="BQ6" s="14">
        <f t="shared" ref="BQ6:BQ29" si="22">G6-BP6</f>
        <v>2</v>
      </c>
    </row>
    <row r="7">
      <c r="A7" s="1"/>
      <c r="B7" s="15"/>
      <c r="C7" s="15"/>
      <c r="D7" s="11" t="s">
        <v>48</v>
      </c>
      <c r="E7" s="11" t="s">
        <v>49</v>
      </c>
      <c r="F7" s="11" t="s">
        <v>40</v>
      </c>
      <c r="G7" s="11">
        <v>3.0</v>
      </c>
      <c r="H7" s="12"/>
      <c r="I7" s="12">
        <f t="shared" si="1"/>
        <v>3</v>
      </c>
      <c r="J7" s="13"/>
      <c r="K7" s="12"/>
      <c r="L7" s="12">
        <f t="shared" si="2"/>
        <v>3</v>
      </c>
      <c r="M7" s="13"/>
      <c r="N7" s="12"/>
      <c r="O7" s="12">
        <f t="shared" si="3"/>
        <v>3</v>
      </c>
      <c r="P7" s="13"/>
      <c r="Q7" s="12"/>
      <c r="R7" s="12">
        <f t="shared" si="4"/>
        <v>3</v>
      </c>
      <c r="S7" s="13"/>
      <c r="T7" s="12"/>
      <c r="U7" s="12">
        <f t="shared" si="5"/>
        <v>3</v>
      </c>
      <c r="V7" s="13"/>
      <c r="W7" s="12"/>
      <c r="X7" s="12">
        <f t="shared" si="6"/>
        <v>3</v>
      </c>
      <c r="Y7" s="13"/>
      <c r="Z7" s="12"/>
      <c r="AA7" s="12">
        <f t="shared" si="7"/>
        <v>3</v>
      </c>
      <c r="AB7" s="13"/>
      <c r="AC7" s="12"/>
      <c r="AD7" s="12">
        <f t="shared" si="8"/>
        <v>3</v>
      </c>
      <c r="AE7" s="13"/>
      <c r="AF7" s="12"/>
      <c r="AG7" s="12">
        <f t="shared" si="9"/>
        <v>3</v>
      </c>
      <c r="AH7" s="13"/>
      <c r="AI7" s="12"/>
      <c r="AJ7" s="12">
        <f t="shared" si="10"/>
        <v>3</v>
      </c>
      <c r="AK7" s="13"/>
      <c r="AL7" s="12"/>
      <c r="AM7" s="12">
        <f t="shared" si="11"/>
        <v>3</v>
      </c>
      <c r="AN7" s="13"/>
      <c r="AO7" s="12"/>
      <c r="AP7" s="12">
        <f t="shared" si="12"/>
        <v>3</v>
      </c>
      <c r="AQ7" s="13"/>
      <c r="AR7" s="12"/>
      <c r="AS7" s="12">
        <f t="shared" si="13"/>
        <v>3</v>
      </c>
      <c r="AT7" s="13"/>
      <c r="AU7" s="12"/>
      <c r="AV7" s="12">
        <f t="shared" si="14"/>
        <v>3</v>
      </c>
      <c r="AW7" s="13"/>
      <c r="AX7" s="12"/>
      <c r="AY7" s="12">
        <f t="shared" si="15"/>
        <v>3</v>
      </c>
      <c r="AZ7" s="13"/>
      <c r="BA7" s="12"/>
      <c r="BB7" s="12">
        <f t="shared" si="16"/>
        <v>3</v>
      </c>
      <c r="BC7" s="13"/>
      <c r="BD7" s="12"/>
      <c r="BE7" s="12">
        <f t="shared" si="17"/>
        <v>3</v>
      </c>
      <c r="BF7" s="13"/>
      <c r="BG7" s="12"/>
      <c r="BH7" s="12">
        <f t="shared" si="18"/>
        <v>3</v>
      </c>
      <c r="BI7" s="13"/>
      <c r="BJ7" s="12"/>
      <c r="BK7" s="12">
        <f t="shared" si="19"/>
        <v>3</v>
      </c>
      <c r="BL7" s="13"/>
      <c r="BM7" s="12"/>
      <c r="BN7" s="12">
        <f t="shared" si="20"/>
        <v>3</v>
      </c>
      <c r="BO7" s="13"/>
      <c r="BP7" s="14">
        <f t="shared" si="21"/>
        <v>0</v>
      </c>
      <c r="BQ7" s="14">
        <f t="shared" si="22"/>
        <v>3</v>
      </c>
    </row>
    <row r="8">
      <c r="A8" s="1"/>
      <c r="B8" s="15"/>
      <c r="C8" s="15"/>
      <c r="D8" s="11" t="s">
        <v>56</v>
      </c>
      <c r="E8" s="11" t="s">
        <v>54</v>
      </c>
      <c r="F8" s="11" t="s">
        <v>40</v>
      </c>
      <c r="G8" s="11">
        <v>10.0</v>
      </c>
      <c r="H8" s="12"/>
      <c r="I8" s="12">
        <f t="shared" si="1"/>
        <v>10</v>
      </c>
      <c r="J8" s="13"/>
      <c r="K8" s="12"/>
      <c r="L8" s="12">
        <f t="shared" si="2"/>
        <v>10</v>
      </c>
      <c r="M8" s="13"/>
      <c r="N8" s="12"/>
      <c r="O8" s="12">
        <f t="shared" si="3"/>
        <v>10</v>
      </c>
      <c r="P8" s="13"/>
      <c r="Q8" s="12"/>
      <c r="R8" s="12">
        <f t="shared" si="4"/>
        <v>10</v>
      </c>
      <c r="S8" s="13"/>
      <c r="T8" s="12"/>
      <c r="U8" s="12">
        <f t="shared" si="5"/>
        <v>10</v>
      </c>
      <c r="V8" s="13"/>
      <c r="W8" s="12"/>
      <c r="X8" s="12">
        <f t="shared" si="6"/>
        <v>10</v>
      </c>
      <c r="Y8" s="13"/>
      <c r="Z8" s="12"/>
      <c r="AA8" s="12">
        <f t="shared" si="7"/>
        <v>10</v>
      </c>
      <c r="AB8" s="13"/>
      <c r="AC8" s="12"/>
      <c r="AD8" s="12">
        <f t="shared" si="8"/>
        <v>10</v>
      </c>
      <c r="AE8" s="13"/>
      <c r="AF8" s="12"/>
      <c r="AG8" s="12">
        <f t="shared" si="9"/>
        <v>10</v>
      </c>
      <c r="AH8" s="13"/>
      <c r="AI8" s="12"/>
      <c r="AJ8" s="12">
        <f t="shared" si="10"/>
        <v>10</v>
      </c>
      <c r="AK8" s="13"/>
      <c r="AL8" s="12"/>
      <c r="AM8" s="12">
        <f t="shared" si="11"/>
        <v>10</v>
      </c>
      <c r="AN8" s="13"/>
      <c r="AO8" s="12"/>
      <c r="AP8" s="12">
        <f t="shared" si="12"/>
        <v>10</v>
      </c>
      <c r="AQ8" s="13"/>
      <c r="AR8" s="12"/>
      <c r="AS8" s="12">
        <f t="shared" si="13"/>
        <v>10</v>
      </c>
      <c r="AT8" s="13"/>
      <c r="AU8" s="12"/>
      <c r="AV8" s="12">
        <f t="shared" si="14"/>
        <v>10</v>
      </c>
      <c r="AW8" s="13"/>
      <c r="AX8" s="12"/>
      <c r="AY8" s="12">
        <f t="shared" si="15"/>
        <v>10</v>
      </c>
      <c r="AZ8" s="13"/>
      <c r="BA8" s="12"/>
      <c r="BB8" s="12">
        <f t="shared" si="16"/>
        <v>10</v>
      </c>
      <c r="BC8" s="13"/>
      <c r="BD8" s="12"/>
      <c r="BE8" s="12">
        <f t="shared" si="17"/>
        <v>10</v>
      </c>
      <c r="BF8" s="13"/>
      <c r="BG8" s="12"/>
      <c r="BH8" s="12">
        <f t="shared" si="18"/>
        <v>10</v>
      </c>
      <c r="BI8" s="13"/>
      <c r="BJ8" s="12"/>
      <c r="BK8" s="12">
        <f t="shared" si="19"/>
        <v>10</v>
      </c>
      <c r="BL8" s="13"/>
      <c r="BM8" s="12"/>
      <c r="BN8" s="12">
        <f t="shared" si="20"/>
        <v>10</v>
      </c>
      <c r="BO8" s="13"/>
      <c r="BP8" s="14">
        <f t="shared" si="21"/>
        <v>0</v>
      </c>
      <c r="BQ8" s="14">
        <f t="shared" si="22"/>
        <v>10</v>
      </c>
    </row>
    <row r="9">
      <c r="A9" s="1"/>
      <c r="B9" s="16"/>
      <c r="C9" s="16"/>
      <c r="D9" s="11" t="s">
        <v>60</v>
      </c>
      <c r="E9" s="11" t="s">
        <v>35</v>
      </c>
      <c r="F9" s="11" t="s">
        <v>40</v>
      </c>
      <c r="G9" s="11">
        <v>3.0</v>
      </c>
      <c r="H9" s="12"/>
      <c r="I9" s="12">
        <f t="shared" si="1"/>
        <v>3</v>
      </c>
      <c r="J9" s="13"/>
      <c r="K9" s="12"/>
      <c r="L9" s="12">
        <f t="shared" si="2"/>
        <v>3</v>
      </c>
      <c r="M9" s="13"/>
      <c r="N9" s="12"/>
      <c r="O9" s="12">
        <f t="shared" si="3"/>
        <v>3</v>
      </c>
      <c r="P9" s="13"/>
      <c r="Q9" s="12"/>
      <c r="R9" s="12">
        <f t="shared" si="4"/>
        <v>3</v>
      </c>
      <c r="S9" s="13"/>
      <c r="T9" s="12"/>
      <c r="U9" s="12">
        <f t="shared" si="5"/>
        <v>3</v>
      </c>
      <c r="V9" s="13"/>
      <c r="W9" s="12"/>
      <c r="X9" s="12">
        <f t="shared" si="6"/>
        <v>3</v>
      </c>
      <c r="Y9" s="13"/>
      <c r="Z9" s="12"/>
      <c r="AA9" s="12">
        <f t="shared" si="7"/>
        <v>3</v>
      </c>
      <c r="AB9" s="13"/>
      <c r="AC9" s="12"/>
      <c r="AD9" s="12">
        <f t="shared" si="8"/>
        <v>3</v>
      </c>
      <c r="AE9" s="13"/>
      <c r="AF9" s="12"/>
      <c r="AG9" s="12">
        <f t="shared" si="9"/>
        <v>3</v>
      </c>
      <c r="AH9" s="13"/>
      <c r="AI9" s="12"/>
      <c r="AJ9" s="12">
        <f t="shared" si="10"/>
        <v>3</v>
      </c>
      <c r="AK9" s="13"/>
      <c r="AL9" s="12"/>
      <c r="AM9" s="12">
        <f t="shared" si="11"/>
        <v>3</v>
      </c>
      <c r="AN9" s="13"/>
      <c r="AO9" s="12"/>
      <c r="AP9" s="12">
        <f t="shared" si="12"/>
        <v>3</v>
      </c>
      <c r="AQ9" s="13"/>
      <c r="AR9" s="12"/>
      <c r="AS9" s="12">
        <f t="shared" si="13"/>
        <v>3</v>
      </c>
      <c r="AT9" s="13"/>
      <c r="AU9" s="12"/>
      <c r="AV9" s="12">
        <f t="shared" si="14"/>
        <v>3</v>
      </c>
      <c r="AW9" s="13"/>
      <c r="AX9" s="12"/>
      <c r="AY9" s="12">
        <f t="shared" si="15"/>
        <v>3</v>
      </c>
      <c r="AZ9" s="13"/>
      <c r="BA9" s="12"/>
      <c r="BB9" s="12">
        <f t="shared" si="16"/>
        <v>3</v>
      </c>
      <c r="BC9" s="13"/>
      <c r="BD9" s="12"/>
      <c r="BE9" s="12">
        <f t="shared" si="17"/>
        <v>3</v>
      </c>
      <c r="BF9" s="13"/>
      <c r="BG9" s="12"/>
      <c r="BH9" s="12">
        <f t="shared" si="18"/>
        <v>3</v>
      </c>
      <c r="BI9" s="13"/>
      <c r="BJ9" s="12"/>
      <c r="BK9" s="12">
        <f t="shared" si="19"/>
        <v>3</v>
      </c>
      <c r="BL9" s="13"/>
      <c r="BM9" s="12"/>
      <c r="BN9" s="12">
        <f t="shared" si="20"/>
        <v>3</v>
      </c>
      <c r="BO9" s="13"/>
      <c r="BP9" s="14">
        <f t="shared" si="21"/>
        <v>0</v>
      </c>
      <c r="BQ9" s="14">
        <f t="shared" si="22"/>
        <v>3</v>
      </c>
    </row>
    <row r="10">
      <c r="A10" s="1"/>
      <c r="B10" s="9" t="s">
        <v>67</v>
      </c>
      <c r="C10" s="9" t="s">
        <v>69</v>
      </c>
      <c r="D10" s="11" t="s">
        <v>70</v>
      </c>
      <c r="E10" s="11" t="s">
        <v>35</v>
      </c>
      <c r="F10" s="11" t="s">
        <v>40</v>
      </c>
      <c r="G10" s="11">
        <v>2.0</v>
      </c>
      <c r="H10" s="12"/>
      <c r="I10" s="12">
        <f t="shared" si="1"/>
        <v>2</v>
      </c>
      <c r="J10" s="13"/>
      <c r="K10" s="12"/>
      <c r="L10" s="12">
        <f t="shared" si="2"/>
        <v>2</v>
      </c>
      <c r="M10" s="13"/>
      <c r="N10" s="12"/>
      <c r="O10" s="12">
        <f t="shared" si="3"/>
        <v>2</v>
      </c>
      <c r="P10" s="13"/>
      <c r="Q10" s="12"/>
      <c r="R10" s="12">
        <f t="shared" si="4"/>
        <v>2</v>
      </c>
      <c r="S10" s="13"/>
      <c r="T10" s="12"/>
      <c r="U10" s="12">
        <f t="shared" si="5"/>
        <v>2</v>
      </c>
      <c r="V10" s="13"/>
      <c r="W10" s="12"/>
      <c r="X10" s="12">
        <f t="shared" si="6"/>
        <v>2</v>
      </c>
      <c r="Y10" s="13"/>
      <c r="Z10" s="12"/>
      <c r="AA10" s="12">
        <f t="shared" si="7"/>
        <v>2</v>
      </c>
      <c r="AB10" s="13"/>
      <c r="AC10" s="12"/>
      <c r="AD10" s="12">
        <f t="shared" si="8"/>
        <v>2</v>
      </c>
      <c r="AE10" s="13"/>
      <c r="AF10" s="12"/>
      <c r="AG10" s="12">
        <f t="shared" si="9"/>
        <v>2</v>
      </c>
      <c r="AH10" s="13"/>
      <c r="AI10" s="12"/>
      <c r="AJ10" s="12">
        <f t="shared" si="10"/>
        <v>2</v>
      </c>
      <c r="AK10" s="13"/>
      <c r="AL10" s="12"/>
      <c r="AM10" s="12">
        <f t="shared" si="11"/>
        <v>2</v>
      </c>
      <c r="AN10" s="13"/>
      <c r="AO10" s="12"/>
      <c r="AP10" s="12">
        <f t="shared" si="12"/>
        <v>2</v>
      </c>
      <c r="AQ10" s="13"/>
      <c r="AR10" s="12"/>
      <c r="AS10" s="12">
        <f t="shared" si="13"/>
        <v>2</v>
      </c>
      <c r="AT10" s="13"/>
      <c r="AU10" s="12"/>
      <c r="AV10" s="12">
        <f t="shared" si="14"/>
        <v>2</v>
      </c>
      <c r="AW10" s="13"/>
      <c r="AX10" s="12"/>
      <c r="AY10" s="12">
        <f t="shared" si="15"/>
        <v>2</v>
      </c>
      <c r="AZ10" s="13"/>
      <c r="BA10" s="12"/>
      <c r="BB10" s="12">
        <f t="shared" si="16"/>
        <v>2</v>
      </c>
      <c r="BC10" s="13"/>
      <c r="BD10" s="12"/>
      <c r="BE10" s="12">
        <f t="shared" si="17"/>
        <v>2</v>
      </c>
      <c r="BF10" s="13"/>
      <c r="BG10" s="12"/>
      <c r="BH10" s="12">
        <f t="shared" si="18"/>
        <v>2</v>
      </c>
      <c r="BI10" s="13"/>
      <c r="BJ10" s="12"/>
      <c r="BK10" s="12">
        <f t="shared" si="19"/>
        <v>2</v>
      </c>
      <c r="BL10" s="13"/>
      <c r="BM10" s="12"/>
      <c r="BN10" s="12">
        <f t="shared" si="20"/>
        <v>2</v>
      </c>
      <c r="BO10" s="13"/>
      <c r="BP10" s="14">
        <f t="shared" si="21"/>
        <v>0</v>
      </c>
      <c r="BQ10" s="14">
        <f t="shared" si="22"/>
        <v>2</v>
      </c>
    </row>
    <row r="11">
      <c r="A11" s="1"/>
      <c r="B11" s="15"/>
      <c r="C11" s="15"/>
      <c r="D11" s="11" t="s">
        <v>76</v>
      </c>
      <c r="E11" s="11" t="s">
        <v>49</v>
      </c>
      <c r="F11" s="11" t="s">
        <v>40</v>
      </c>
      <c r="G11" s="11">
        <v>3.0</v>
      </c>
      <c r="H11" s="12"/>
      <c r="I11" s="12">
        <f t="shared" si="1"/>
        <v>3</v>
      </c>
      <c r="J11" s="13"/>
      <c r="K11" s="12"/>
      <c r="L11" s="12">
        <f t="shared" si="2"/>
        <v>3</v>
      </c>
      <c r="M11" s="13"/>
      <c r="N11" s="12"/>
      <c r="O11" s="12">
        <f t="shared" si="3"/>
        <v>3</v>
      </c>
      <c r="P11" s="13"/>
      <c r="Q11" s="12"/>
      <c r="R11" s="12">
        <f t="shared" si="4"/>
        <v>3</v>
      </c>
      <c r="S11" s="13"/>
      <c r="T11" s="12"/>
      <c r="U11" s="12">
        <f t="shared" si="5"/>
        <v>3</v>
      </c>
      <c r="V11" s="13"/>
      <c r="W11" s="12"/>
      <c r="X11" s="12">
        <f t="shared" si="6"/>
        <v>3</v>
      </c>
      <c r="Y11" s="13"/>
      <c r="Z11" s="12"/>
      <c r="AA11" s="12">
        <f t="shared" si="7"/>
        <v>3</v>
      </c>
      <c r="AB11" s="13"/>
      <c r="AC11" s="12"/>
      <c r="AD11" s="12">
        <f t="shared" si="8"/>
        <v>3</v>
      </c>
      <c r="AE11" s="13"/>
      <c r="AF11" s="12"/>
      <c r="AG11" s="12">
        <f t="shared" si="9"/>
        <v>3</v>
      </c>
      <c r="AH11" s="13"/>
      <c r="AI11" s="12"/>
      <c r="AJ11" s="12">
        <f t="shared" si="10"/>
        <v>3</v>
      </c>
      <c r="AK11" s="13"/>
      <c r="AL11" s="12"/>
      <c r="AM11" s="12">
        <f t="shared" si="11"/>
        <v>3</v>
      </c>
      <c r="AN11" s="13"/>
      <c r="AO11" s="12"/>
      <c r="AP11" s="12">
        <f t="shared" si="12"/>
        <v>3</v>
      </c>
      <c r="AQ11" s="13"/>
      <c r="AR11" s="12"/>
      <c r="AS11" s="12">
        <f t="shared" si="13"/>
        <v>3</v>
      </c>
      <c r="AT11" s="13"/>
      <c r="AU11" s="12"/>
      <c r="AV11" s="12">
        <f t="shared" si="14"/>
        <v>3</v>
      </c>
      <c r="AW11" s="13"/>
      <c r="AX11" s="12"/>
      <c r="AY11" s="12">
        <f t="shared" si="15"/>
        <v>3</v>
      </c>
      <c r="AZ11" s="13"/>
      <c r="BA11" s="12"/>
      <c r="BB11" s="12">
        <f t="shared" si="16"/>
        <v>3</v>
      </c>
      <c r="BC11" s="13"/>
      <c r="BD11" s="12"/>
      <c r="BE11" s="12">
        <f t="shared" si="17"/>
        <v>3</v>
      </c>
      <c r="BF11" s="13"/>
      <c r="BG11" s="12"/>
      <c r="BH11" s="12">
        <f t="shared" si="18"/>
        <v>3</v>
      </c>
      <c r="BI11" s="13"/>
      <c r="BJ11" s="12"/>
      <c r="BK11" s="12">
        <f t="shared" si="19"/>
        <v>3</v>
      </c>
      <c r="BL11" s="13"/>
      <c r="BM11" s="12"/>
      <c r="BN11" s="12">
        <f t="shared" si="20"/>
        <v>3</v>
      </c>
      <c r="BO11" s="13"/>
      <c r="BP11" s="14">
        <f t="shared" si="21"/>
        <v>0</v>
      </c>
      <c r="BQ11" s="14">
        <f t="shared" si="22"/>
        <v>3</v>
      </c>
    </row>
    <row r="12">
      <c r="A12" s="1"/>
      <c r="B12" s="15"/>
      <c r="C12" s="15"/>
      <c r="D12" s="11" t="s">
        <v>80</v>
      </c>
      <c r="E12" s="11" t="s">
        <v>54</v>
      </c>
      <c r="F12" s="11" t="s">
        <v>40</v>
      </c>
      <c r="G12" s="11">
        <v>8.0</v>
      </c>
      <c r="H12" s="12"/>
      <c r="I12" s="12">
        <f t="shared" si="1"/>
        <v>8</v>
      </c>
      <c r="J12" s="13"/>
      <c r="K12" s="12"/>
      <c r="L12" s="12">
        <f t="shared" si="2"/>
        <v>8</v>
      </c>
      <c r="M12" s="13"/>
      <c r="N12" s="12"/>
      <c r="O12" s="12">
        <f t="shared" si="3"/>
        <v>8</v>
      </c>
      <c r="P12" s="13"/>
      <c r="Q12" s="12"/>
      <c r="R12" s="12">
        <f t="shared" si="4"/>
        <v>8</v>
      </c>
      <c r="S12" s="13"/>
      <c r="T12" s="12"/>
      <c r="U12" s="12">
        <f t="shared" si="5"/>
        <v>8</v>
      </c>
      <c r="V12" s="13"/>
      <c r="W12" s="12"/>
      <c r="X12" s="12">
        <f t="shared" si="6"/>
        <v>8</v>
      </c>
      <c r="Y12" s="13"/>
      <c r="Z12" s="12"/>
      <c r="AA12" s="12">
        <f t="shared" si="7"/>
        <v>8</v>
      </c>
      <c r="AB12" s="13"/>
      <c r="AC12" s="12"/>
      <c r="AD12" s="12">
        <f t="shared" si="8"/>
        <v>8</v>
      </c>
      <c r="AE12" s="13"/>
      <c r="AF12" s="12"/>
      <c r="AG12" s="12">
        <f t="shared" si="9"/>
        <v>8</v>
      </c>
      <c r="AH12" s="13"/>
      <c r="AI12" s="12"/>
      <c r="AJ12" s="12">
        <f t="shared" si="10"/>
        <v>8</v>
      </c>
      <c r="AK12" s="13"/>
      <c r="AL12" s="12"/>
      <c r="AM12" s="12">
        <f t="shared" si="11"/>
        <v>8</v>
      </c>
      <c r="AN12" s="13"/>
      <c r="AO12" s="12"/>
      <c r="AP12" s="12">
        <f t="shared" si="12"/>
        <v>8</v>
      </c>
      <c r="AQ12" s="13"/>
      <c r="AR12" s="12"/>
      <c r="AS12" s="12">
        <f t="shared" si="13"/>
        <v>8</v>
      </c>
      <c r="AT12" s="13"/>
      <c r="AU12" s="12"/>
      <c r="AV12" s="12">
        <f t="shared" si="14"/>
        <v>8</v>
      </c>
      <c r="AW12" s="13"/>
      <c r="AX12" s="12"/>
      <c r="AY12" s="12">
        <f t="shared" si="15"/>
        <v>8</v>
      </c>
      <c r="AZ12" s="13"/>
      <c r="BA12" s="12"/>
      <c r="BB12" s="12">
        <f t="shared" si="16"/>
        <v>8</v>
      </c>
      <c r="BC12" s="13"/>
      <c r="BD12" s="12"/>
      <c r="BE12" s="12">
        <f t="shared" si="17"/>
        <v>8</v>
      </c>
      <c r="BF12" s="13"/>
      <c r="BG12" s="12"/>
      <c r="BH12" s="12">
        <f t="shared" si="18"/>
        <v>8</v>
      </c>
      <c r="BI12" s="13"/>
      <c r="BJ12" s="12"/>
      <c r="BK12" s="12">
        <f t="shared" si="19"/>
        <v>8</v>
      </c>
      <c r="BL12" s="13"/>
      <c r="BM12" s="12"/>
      <c r="BN12" s="12">
        <f t="shared" si="20"/>
        <v>8</v>
      </c>
      <c r="BO12" s="13"/>
      <c r="BP12" s="14">
        <f t="shared" si="21"/>
        <v>0</v>
      </c>
      <c r="BQ12" s="14">
        <f t="shared" si="22"/>
        <v>8</v>
      </c>
    </row>
    <row r="13">
      <c r="A13" s="1"/>
      <c r="B13" s="16"/>
      <c r="C13" s="16"/>
      <c r="D13" s="11" t="s">
        <v>84</v>
      </c>
      <c r="E13" s="11" t="s">
        <v>35</v>
      </c>
      <c r="F13" s="11" t="s">
        <v>40</v>
      </c>
      <c r="G13" s="11">
        <v>3.0</v>
      </c>
      <c r="H13" s="12"/>
      <c r="I13" s="12">
        <f t="shared" si="1"/>
        <v>3</v>
      </c>
      <c r="J13" s="13"/>
      <c r="K13" s="12"/>
      <c r="L13" s="12">
        <f t="shared" si="2"/>
        <v>3</v>
      </c>
      <c r="M13" s="13"/>
      <c r="N13" s="12"/>
      <c r="O13" s="12">
        <f t="shared" si="3"/>
        <v>3</v>
      </c>
      <c r="P13" s="13"/>
      <c r="Q13" s="12"/>
      <c r="R13" s="12">
        <f t="shared" si="4"/>
        <v>3</v>
      </c>
      <c r="S13" s="13"/>
      <c r="T13" s="12"/>
      <c r="U13" s="12">
        <f t="shared" si="5"/>
        <v>3</v>
      </c>
      <c r="V13" s="13"/>
      <c r="W13" s="12"/>
      <c r="X13" s="12">
        <f t="shared" si="6"/>
        <v>3</v>
      </c>
      <c r="Y13" s="13"/>
      <c r="Z13" s="12"/>
      <c r="AA13" s="12">
        <f t="shared" si="7"/>
        <v>3</v>
      </c>
      <c r="AB13" s="13"/>
      <c r="AC13" s="12"/>
      <c r="AD13" s="12">
        <f t="shared" si="8"/>
        <v>3</v>
      </c>
      <c r="AE13" s="13"/>
      <c r="AF13" s="12"/>
      <c r="AG13" s="12">
        <f t="shared" si="9"/>
        <v>3</v>
      </c>
      <c r="AH13" s="13"/>
      <c r="AI13" s="12"/>
      <c r="AJ13" s="12">
        <f t="shared" si="10"/>
        <v>3</v>
      </c>
      <c r="AK13" s="13"/>
      <c r="AL13" s="12"/>
      <c r="AM13" s="12">
        <f t="shared" si="11"/>
        <v>3</v>
      </c>
      <c r="AN13" s="13"/>
      <c r="AO13" s="12"/>
      <c r="AP13" s="12">
        <f t="shared" si="12"/>
        <v>3</v>
      </c>
      <c r="AQ13" s="13"/>
      <c r="AR13" s="12"/>
      <c r="AS13" s="12">
        <f t="shared" si="13"/>
        <v>3</v>
      </c>
      <c r="AT13" s="13"/>
      <c r="AU13" s="12"/>
      <c r="AV13" s="12">
        <f t="shared" si="14"/>
        <v>3</v>
      </c>
      <c r="AW13" s="13"/>
      <c r="AX13" s="12"/>
      <c r="AY13" s="12">
        <f t="shared" si="15"/>
        <v>3</v>
      </c>
      <c r="AZ13" s="13"/>
      <c r="BA13" s="12"/>
      <c r="BB13" s="12">
        <f t="shared" si="16"/>
        <v>3</v>
      </c>
      <c r="BC13" s="13"/>
      <c r="BD13" s="12"/>
      <c r="BE13" s="12">
        <f t="shared" si="17"/>
        <v>3</v>
      </c>
      <c r="BF13" s="13"/>
      <c r="BG13" s="12"/>
      <c r="BH13" s="12">
        <f t="shared" si="18"/>
        <v>3</v>
      </c>
      <c r="BI13" s="13"/>
      <c r="BJ13" s="12"/>
      <c r="BK13" s="12">
        <f t="shared" si="19"/>
        <v>3</v>
      </c>
      <c r="BL13" s="13"/>
      <c r="BM13" s="12"/>
      <c r="BN13" s="12">
        <f t="shared" si="20"/>
        <v>3</v>
      </c>
      <c r="BO13" s="13"/>
      <c r="BP13" s="14">
        <f t="shared" si="21"/>
        <v>0</v>
      </c>
      <c r="BQ13" s="14">
        <f t="shared" si="22"/>
        <v>3</v>
      </c>
    </row>
    <row r="14">
      <c r="A14" s="1"/>
      <c r="B14" s="9" t="s">
        <v>92</v>
      </c>
      <c r="C14" s="9" t="s">
        <v>93</v>
      </c>
      <c r="D14" s="20" t="s">
        <v>95</v>
      </c>
      <c r="E14" s="11" t="s">
        <v>35</v>
      </c>
      <c r="F14" s="11" t="s">
        <v>40</v>
      </c>
      <c r="G14" s="11">
        <v>2.0</v>
      </c>
      <c r="H14" s="12"/>
      <c r="I14" s="12">
        <f t="shared" si="1"/>
        <v>2</v>
      </c>
      <c r="J14" s="13"/>
      <c r="K14" s="12"/>
      <c r="L14" s="12">
        <f t="shared" si="2"/>
        <v>2</v>
      </c>
      <c r="M14" s="13"/>
      <c r="N14" s="12"/>
      <c r="O14" s="12">
        <f t="shared" si="3"/>
        <v>2</v>
      </c>
      <c r="P14" s="13"/>
      <c r="Q14" s="12"/>
      <c r="R14" s="12">
        <f t="shared" si="4"/>
        <v>2</v>
      </c>
      <c r="S14" s="13"/>
      <c r="T14" s="12"/>
      <c r="U14" s="12">
        <f t="shared" si="5"/>
        <v>2</v>
      </c>
      <c r="V14" s="13"/>
      <c r="W14" s="12"/>
      <c r="X14" s="12">
        <f t="shared" si="6"/>
        <v>2</v>
      </c>
      <c r="Y14" s="13"/>
      <c r="Z14" s="12"/>
      <c r="AA14" s="12">
        <f t="shared" si="7"/>
        <v>2</v>
      </c>
      <c r="AB14" s="13"/>
      <c r="AC14" s="12"/>
      <c r="AD14" s="12">
        <f t="shared" si="8"/>
        <v>2</v>
      </c>
      <c r="AE14" s="13"/>
      <c r="AF14" s="12"/>
      <c r="AG14" s="12">
        <f t="shared" si="9"/>
        <v>2</v>
      </c>
      <c r="AH14" s="13"/>
      <c r="AI14" s="12"/>
      <c r="AJ14" s="12">
        <f t="shared" si="10"/>
        <v>2</v>
      </c>
      <c r="AK14" s="13"/>
      <c r="AL14" s="12"/>
      <c r="AM14" s="12">
        <f t="shared" si="11"/>
        <v>2</v>
      </c>
      <c r="AN14" s="13"/>
      <c r="AO14" s="12"/>
      <c r="AP14" s="12">
        <f t="shared" si="12"/>
        <v>2</v>
      </c>
      <c r="AQ14" s="13"/>
      <c r="AR14" s="12"/>
      <c r="AS14" s="12">
        <f t="shared" si="13"/>
        <v>2</v>
      </c>
      <c r="AT14" s="13"/>
      <c r="AU14" s="12"/>
      <c r="AV14" s="12">
        <f t="shared" si="14"/>
        <v>2</v>
      </c>
      <c r="AW14" s="13"/>
      <c r="AX14" s="12"/>
      <c r="AY14" s="12">
        <f t="shared" si="15"/>
        <v>2</v>
      </c>
      <c r="AZ14" s="13"/>
      <c r="BA14" s="12"/>
      <c r="BB14" s="12">
        <f t="shared" si="16"/>
        <v>2</v>
      </c>
      <c r="BC14" s="13"/>
      <c r="BD14" s="12"/>
      <c r="BE14" s="12">
        <f t="shared" si="17"/>
        <v>2</v>
      </c>
      <c r="BF14" s="13"/>
      <c r="BG14" s="12"/>
      <c r="BH14" s="12">
        <f t="shared" si="18"/>
        <v>2</v>
      </c>
      <c r="BI14" s="13"/>
      <c r="BJ14" s="12"/>
      <c r="BK14" s="12">
        <f t="shared" si="19"/>
        <v>2</v>
      </c>
      <c r="BL14" s="13"/>
      <c r="BM14" s="12"/>
      <c r="BN14" s="12">
        <f t="shared" si="20"/>
        <v>2</v>
      </c>
      <c r="BO14" s="13"/>
      <c r="BP14" s="14">
        <f t="shared" si="21"/>
        <v>0</v>
      </c>
      <c r="BQ14" s="14">
        <f t="shared" si="22"/>
        <v>2</v>
      </c>
    </row>
    <row r="15">
      <c r="A15" s="1"/>
      <c r="B15" s="15"/>
      <c r="C15" s="15"/>
      <c r="D15" s="21" t="s">
        <v>101</v>
      </c>
      <c r="E15" s="11" t="s">
        <v>54</v>
      </c>
      <c r="F15" s="11" t="s">
        <v>40</v>
      </c>
      <c r="G15" s="11">
        <v>8.0</v>
      </c>
      <c r="H15" s="12"/>
      <c r="I15" s="12">
        <f t="shared" si="1"/>
        <v>8</v>
      </c>
      <c r="J15" s="13"/>
      <c r="K15" s="12"/>
      <c r="L15" s="12">
        <f t="shared" si="2"/>
        <v>8</v>
      </c>
      <c r="M15" s="13"/>
      <c r="N15" s="12"/>
      <c r="O15" s="12">
        <f t="shared" si="3"/>
        <v>8</v>
      </c>
      <c r="P15" s="13"/>
      <c r="Q15" s="12"/>
      <c r="R15" s="12">
        <f t="shared" si="4"/>
        <v>8</v>
      </c>
      <c r="S15" s="13"/>
      <c r="T15" s="12"/>
      <c r="U15" s="12">
        <f t="shared" si="5"/>
        <v>8</v>
      </c>
      <c r="V15" s="13"/>
      <c r="W15" s="12"/>
      <c r="X15" s="12">
        <f t="shared" si="6"/>
        <v>8</v>
      </c>
      <c r="Y15" s="13"/>
      <c r="Z15" s="12"/>
      <c r="AA15" s="12">
        <f t="shared" si="7"/>
        <v>8</v>
      </c>
      <c r="AB15" s="13"/>
      <c r="AC15" s="12"/>
      <c r="AD15" s="12">
        <f t="shared" si="8"/>
        <v>8</v>
      </c>
      <c r="AE15" s="13"/>
      <c r="AF15" s="12"/>
      <c r="AG15" s="12">
        <f t="shared" si="9"/>
        <v>8</v>
      </c>
      <c r="AH15" s="13"/>
      <c r="AI15" s="12"/>
      <c r="AJ15" s="12">
        <f t="shared" si="10"/>
        <v>8</v>
      </c>
      <c r="AK15" s="13"/>
      <c r="AL15" s="12"/>
      <c r="AM15" s="12">
        <f t="shared" si="11"/>
        <v>8</v>
      </c>
      <c r="AN15" s="13"/>
      <c r="AO15" s="12"/>
      <c r="AP15" s="12">
        <f t="shared" si="12"/>
        <v>8</v>
      </c>
      <c r="AQ15" s="13"/>
      <c r="AR15" s="12"/>
      <c r="AS15" s="12">
        <f t="shared" si="13"/>
        <v>8</v>
      </c>
      <c r="AT15" s="13"/>
      <c r="AU15" s="12"/>
      <c r="AV15" s="12">
        <f t="shared" si="14"/>
        <v>8</v>
      </c>
      <c r="AW15" s="13"/>
      <c r="AX15" s="12"/>
      <c r="AY15" s="12">
        <f t="shared" si="15"/>
        <v>8</v>
      </c>
      <c r="AZ15" s="13"/>
      <c r="BA15" s="12"/>
      <c r="BB15" s="12">
        <f t="shared" si="16"/>
        <v>8</v>
      </c>
      <c r="BC15" s="13"/>
      <c r="BD15" s="12"/>
      <c r="BE15" s="12">
        <f t="shared" si="17"/>
        <v>8</v>
      </c>
      <c r="BF15" s="13"/>
      <c r="BG15" s="12"/>
      <c r="BH15" s="12">
        <f t="shared" si="18"/>
        <v>8</v>
      </c>
      <c r="BI15" s="13"/>
      <c r="BJ15" s="12"/>
      <c r="BK15" s="12">
        <f t="shared" si="19"/>
        <v>8</v>
      </c>
      <c r="BL15" s="13"/>
      <c r="BM15" s="12"/>
      <c r="BN15" s="12">
        <f t="shared" si="20"/>
        <v>8</v>
      </c>
      <c r="BO15" s="13"/>
      <c r="BP15" s="14">
        <f t="shared" si="21"/>
        <v>0</v>
      </c>
      <c r="BQ15" s="14">
        <f t="shared" si="22"/>
        <v>8</v>
      </c>
    </row>
    <row r="16">
      <c r="A16" s="1"/>
      <c r="B16" s="15"/>
      <c r="C16" s="15"/>
      <c r="D16" s="21" t="s">
        <v>109</v>
      </c>
      <c r="E16" s="11" t="s">
        <v>54</v>
      </c>
      <c r="F16" s="11" t="s">
        <v>40</v>
      </c>
      <c r="G16" s="11">
        <v>6.0</v>
      </c>
      <c r="H16" s="12"/>
      <c r="I16" s="12">
        <f t="shared" si="1"/>
        <v>6</v>
      </c>
      <c r="J16" s="13"/>
      <c r="K16" s="12"/>
      <c r="L16" s="12">
        <f t="shared" si="2"/>
        <v>6</v>
      </c>
      <c r="M16" s="13"/>
      <c r="N16" s="12"/>
      <c r="O16" s="12">
        <f t="shared" si="3"/>
        <v>6</v>
      </c>
      <c r="P16" s="13"/>
      <c r="Q16" s="12"/>
      <c r="R16" s="12">
        <f t="shared" si="4"/>
        <v>6</v>
      </c>
      <c r="S16" s="13"/>
      <c r="T16" s="12"/>
      <c r="U16" s="12">
        <f t="shared" si="5"/>
        <v>6</v>
      </c>
      <c r="V16" s="13"/>
      <c r="W16" s="12"/>
      <c r="X16" s="12">
        <f t="shared" si="6"/>
        <v>6</v>
      </c>
      <c r="Y16" s="13"/>
      <c r="Z16" s="12"/>
      <c r="AA16" s="12">
        <f t="shared" si="7"/>
        <v>6</v>
      </c>
      <c r="AB16" s="13"/>
      <c r="AC16" s="12"/>
      <c r="AD16" s="12">
        <f t="shared" si="8"/>
        <v>6</v>
      </c>
      <c r="AE16" s="13"/>
      <c r="AF16" s="12"/>
      <c r="AG16" s="12">
        <f t="shared" si="9"/>
        <v>6</v>
      </c>
      <c r="AH16" s="13"/>
      <c r="AI16" s="12"/>
      <c r="AJ16" s="12">
        <f t="shared" si="10"/>
        <v>6</v>
      </c>
      <c r="AK16" s="13"/>
      <c r="AL16" s="12"/>
      <c r="AM16" s="12">
        <f t="shared" si="11"/>
        <v>6</v>
      </c>
      <c r="AN16" s="13"/>
      <c r="AO16" s="12"/>
      <c r="AP16" s="12">
        <f t="shared" si="12"/>
        <v>6</v>
      </c>
      <c r="AQ16" s="13"/>
      <c r="AR16" s="12"/>
      <c r="AS16" s="12">
        <f t="shared" si="13"/>
        <v>6</v>
      </c>
      <c r="AT16" s="13"/>
      <c r="AU16" s="12"/>
      <c r="AV16" s="12">
        <f t="shared" si="14"/>
        <v>6</v>
      </c>
      <c r="AW16" s="13"/>
      <c r="AX16" s="12"/>
      <c r="AY16" s="12">
        <f t="shared" si="15"/>
        <v>6</v>
      </c>
      <c r="AZ16" s="13"/>
      <c r="BA16" s="12"/>
      <c r="BB16" s="12">
        <f t="shared" si="16"/>
        <v>6</v>
      </c>
      <c r="BC16" s="13"/>
      <c r="BD16" s="12"/>
      <c r="BE16" s="12">
        <f t="shared" si="17"/>
        <v>6</v>
      </c>
      <c r="BF16" s="13"/>
      <c r="BG16" s="12"/>
      <c r="BH16" s="12">
        <f t="shared" si="18"/>
        <v>6</v>
      </c>
      <c r="BI16" s="13"/>
      <c r="BJ16" s="12"/>
      <c r="BK16" s="12">
        <f t="shared" si="19"/>
        <v>6</v>
      </c>
      <c r="BL16" s="13"/>
      <c r="BM16" s="12"/>
      <c r="BN16" s="12">
        <f t="shared" si="20"/>
        <v>6</v>
      </c>
      <c r="BO16" s="13"/>
      <c r="BP16" s="14">
        <f t="shared" si="21"/>
        <v>0</v>
      </c>
      <c r="BQ16" s="14">
        <f t="shared" si="22"/>
        <v>6</v>
      </c>
    </row>
    <row r="17" ht="71.25" customHeight="1">
      <c r="A17" s="1"/>
      <c r="B17" s="16"/>
      <c r="C17" s="16"/>
      <c r="D17" s="21" t="s">
        <v>114</v>
      </c>
      <c r="E17" s="11" t="s">
        <v>35</v>
      </c>
      <c r="F17" s="11" t="s">
        <v>40</v>
      </c>
      <c r="G17" s="11">
        <v>3.0</v>
      </c>
      <c r="H17" s="12"/>
      <c r="I17" s="12">
        <f t="shared" si="1"/>
        <v>3</v>
      </c>
      <c r="J17" s="13"/>
      <c r="K17" s="12"/>
      <c r="L17" s="12">
        <f t="shared" si="2"/>
        <v>3</v>
      </c>
      <c r="M17" s="13"/>
      <c r="N17" s="12"/>
      <c r="O17" s="12">
        <f t="shared" si="3"/>
        <v>3</v>
      </c>
      <c r="P17" s="13"/>
      <c r="Q17" s="12"/>
      <c r="R17" s="12">
        <f t="shared" si="4"/>
        <v>3</v>
      </c>
      <c r="S17" s="13"/>
      <c r="T17" s="12"/>
      <c r="U17" s="12">
        <f t="shared" si="5"/>
        <v>3</v>
      </c>
      <c r="V17" s="13"/>
      <c r="W17" s="12"/>
      <c r="X17" s="12">
        <f t="shared" si="6"/>
        <v>3</v>
      </c>
      <c r="Y17" s="13"/>
      <c r="Z17" s="12"/>
      <c r="AA17" s="12">
        <f t="shared" si="7"/>
        <v>3</v>
      </c>
      <c r="AB17" s="13"/>
      <c r="AC17" s="12"/>
      <c r="AD17" s="12">
        <f t="shared" si="8"/>
        <v>3</v>
      </c>
      <c r="AE17" s="13"/>
      <c r="AF17" s="12"/>
      <c r="AG17" s="12">
        <f t="shared" si="9"/>
        <v>3</v>
      </c>
      <c r="AH17" s="13"/>
      <c r="AI17" s="12"/>
      <c r="AJ17" s="12">
        <f t="shared" si="10"/>
        <v>3</v>
      </c>
      <c r="AK17" s="13"/>
      <c r="AL17" s="12"/>
      <c r="AM17" s="12">
        <f t="shared" si="11"/>
        <v>3</v>
      </c>
      <c r="AN17" s="13"/>
      <c r="AO17" s="12"/>
      <c r="AP17" s="12">
        <f t="shared" si="12"/>
        <v>3</v>
      </c>
      <c r="AQ17" s="13"/>
      <c r="AR17" s="12"/>
      <c r="AS17" s="12">
        <f t="shared" si="13"/>
        <v>3</v>
      </c>
      <c r="AT17" s="13"/>
      <c r="AU17" s="12"/>
      <c r="AV17" s="12">
        <f t="shared" si="14"/>
        <v>3</v>
      </c>
      <c r="AW17" s="13"/>
      <c r="AX17" s="12"/>
      <c r="AY17" s="12">
        <f t="shared" si="15"/>
        <v>3</v>
      </c>
      <c r="AZ17" s="13"/>
      <c r="BA17" s="12"/>
      <c r="BB17" s="12">
        <f t="shared" si="16"/>
        <v>3</v>
      </c>
      <c r="BC17" s="13"/>
      <c r="BD17" s="12"/>
      <c r="BE17" s="12">
        <f t="shared" si="17"/>
        <v>3</v>
      </c>
      <c r="BF17" s="13"/>
      <c r="BG17" s="12"/>
      <c r="BH17" s="12">
        <f t="shared" si="18"/>
        <v>3</v>
      </c>
      <c r="BI17" s="13"/>
      <c r="BJ17" s="12"/>
      <c r="BK17" s="12">
        <f t="shared" si="19"/>
        <v>3</v>
      </c>
      <c r="BL17" s="13"/>
      <c r="BM17" s="12"/>
      <c r="BN17" s="12">
        <f t="shared" si="20"/>
        <v>3</v>
      </c>
      <c r="BO17" s="13"/>
      <c r="BP17" s="14">
        <f t="shared" si="21"/>
        <v>0</v>
      </c>
      <c r="BQ17" s="14">
        <f t="shared" si="22"/>
        <v>3</v>
      </c>
    </row>
    <row r="18" ht="55.5" customHeight="1">
      <c r="A18" s="1"/>
      <c r="B18" s="9" t="s">
        <v>122</v>
      </c>
      <c r="C18" s="9" t="s">
        <v>124</v>
      </c>
      <c r="D18" s="22" t="s">
        <v>125</v>
      </c>
      <c r="E18" s="11" t="s">
        <v>35</v>
      </c>
      <c r="F18" s="11" t="s">
        <v>40</v>
      </c>
      <c r="G18" s="11">
        <v>2.0</v>
      </c>
      <c r="H18" s="12"/>
      <c r="I18" s="12">
        <f t="shared" si="1"/>
        <v>2</v>
      </c>
      <c r="J18" s="13"/>
      <c r="K18" s="12"/>
      <c r="L18" s="12">
        <f t="shared" si="2"/>
        <v>2</v>
      </c>
      <c r="M18" s="13"/>
      <c r="N18" s="12"/>
      <c r="O18" s="12">
        <f t="shared" si="3"/>
        <v>2</v>
      </c>
      <c r="P18" s="13"/>
      <c r="Q18" s="12"/>
      <c r="R18" s="12">
        <f t="shared" si="4"/>
        <v>2</v>
      </c>
      <c r="S18" s="13"/>
      <c r="T18" s="12"/>
      <c r="U18" s="12">
        <f t="shared" si="5"/>
        <v>2</v>
      </c>
      <c r="V18" s="13"/>
      <c r="W18" s="12"/>
      <c r="X18" s="12">
        <f t="shared" si="6"/>
        <v>2</v>
      </c>
      <c r="Y18" s="13"/>
      <c r="Z18" s="12"/>
      <c r="AA18" s="12">
        <f t="shared" si="7"/>
        <v>2</v>
      </c>
      <c r="AB18" s="13"/>
      <c r="AC18" s="12"/>
      <c r="AD18" s="12">
        <f t="shared" si="8"/>
        <v>2</v>
      </c>
      <c r="AE18" s="13"/>
      <c r="AF18" s="12"/>
      <c r="AG18" s="12">
        <f t="shared" si="9"/>
        <v>2</v>
      </c>
      <c r="AH18" s="13"/>
      <c r="AI18" s="12"/>
      <c r="AJ18" s="12">
        <f t="shared" si="10"/>
        <v>2</v>
      </c>
      <c r="AK18" s="13"/>
      <c r="AL18" s="12"/>
      <c r="AM18" s="12">
        <f t="shared" si="11"/>
        <v>2</v>
      </c>
      <c r="AN18" s="13"/>
      <c r="AO18" s="12"/>
      <c r="AP18" s="12">
        <f t="shared" si="12"/>
        <v>2</v>
      </c>
      <c r="AQ18" s="13"/>
      <c r="AR18" s="12"/>
      <c r="AS18" s="12">
        <f t="shared" si="13"/>
        <v>2</v>
      </c>
      <c r="AT18" s="13"/>
      <c r="AU18" s="12"/>
      <c r="AV18" s="12">
        <f t="shared" si="14"/>
        <v>2</v>
      </c>
      <c r="AW18" s="13"/>
      <c r="AX18" s="12"/>
      <c r="AY18" s="12">
        <f t="shared" si="15"/>
        <v>2</v>
      </c>
      <c r="AZ18" s="13"/>
      <c r="BA18" s="12"/>
      <c r="BB18" s="12">
        <f t="shared" si="16"/>
        <v>2</v>
      </c>
      <c r="BC18" s="13"/>
      <c r="BD18" s="12"/>
      <c r="BE18" s="12">
        <f t="shared" si="17"/>
        <v>2</v>
      </c>
      <c r="BF18" s="13"/>
      <c r="BG18" s="12"/>
      <c r="BH18" s="12">
        <f t="shared" si="18"/>
        <v>2</v>
      </c>
      <c r="BI18" s="13"/>
      <c r="BJ18" s="12"/>
      <c r="BK18" s="12">
        <f t="shared" si="19"/>
        <v>2</v>
      </c>
      <c r="BL18" s="13"/>
      <c r="BM18" s="12"/>
      <c r="BN18" s="12">
        <f t="shared" si="20"/>
        <v>2</v>
      </c>
      <c r="BO18" s="13"/>
      <c r="BP18" s="14">
        <f t="shared" si="21"/>
        <v>0</v>
      </c>
      <c r="BQ18" s="14">
        <f t="shared" si="22"/>
        <v>2</v>
      </c>
    </row>
    <row r="19" ht="75.75" customHeight="1">
      <c r="A19" s="1"/>
      <c r="B19" s="15"/>
      <c r="C19" s="15"/>
      <c r="D19" s="22" t="s">
        <v>131</v>
      </c>
      <c r="E19" s="11" t="s">
        <v>54</v>
      </c>
      <c r="F19" s="11" t="s">
        <v>40</v>
      </c>
      <c r="G19" s="11">
        <v>8.0</v>
      </c>
      <c r="H19" s="12"/>
      <c r="I19" s="12">
        <f t="shared" si="1"/>
        <v>8</v>
      </c>
      <c r="J19" s="13"/>
      <c r="K19" s="12"/>
      <c r="L19" s="12">
        <f t="shared" si="2"/>
        <v>8</v>
      </c>
      <c r="M19" s="13"/>
      <c r="N19" s="12"/>
      <c r="O19" s="12">
        <f t="shared" si="3"/>
        <v>8</v>
      </c>
      <c r="P19" s="13"/>
      <c r="Q19" s="12"/>
      <c r="R19" s="12">
        <f t="shared" si="4"/>
        <v>8</v>
      </c>
      <c r="S19" s="13"/>
      <c r="T19" s="12"/>
      <c r="U19" s="12">
        <f t="shared" si="5"/>
        <v>8</v>
      </c>
      <c r="V19" s="13"/>
      <c r="W19" s="12"/>
      <c r="X19" s="12">
        <f t="shared" si="6"/>
        <v>8</v>
      </c>
      <c r="Y19" s="13"/>
      <c r="Z19" s="12"/>
      <c r="AA19" s="12">
        <f t="shared" si="7"/>
        <v>8</v>
      </c>
      <c r="AB19" s="13"/>
      <c r="AC19" s="12"/>
      <c r="AD19" s="12">
        <f t="shared" si="8"/>
        <v>8</v>
      </c>
      <c r="AE19" s="13"/>
      <c r="AF19" s="12"/>
      <c r="AG19" s="12">
        <f t="shared" si="9"/>
        <v>8</v>
      </c>
      <c r="AH19" s="13"/>
      <c r="AI19" s="12"/>
      <c r="AJ19" s="12">
        <f t="shared" si="10"/>
        <v>8</v>
      </c>
      <c r="AK19" s="13"/>
      <c r="AL19" s="12"/>
      <c r="AM19" s="12">
        <f t="shared" si="11"/>
        <v>8</v>
      </c>
      <c r="AN19" s="13"/>
      <c r="AO19" s="12"/>
      <c r="AP19" s="12">
        <f t="shared" si="12"/>
        <v>8</v>
      </c>
      <c r="AQ19" s="13"/>
      <c r="AR19" s="12"/>
      <c r="AS19" s="12">
        <f t="shared" si="13"/>
        <v>8</v>
      </c>
      <c r="AT19" s="13"/>
      <c r="AU19" s="12"/>
      <c r="AV19" s="12">
        <f t="shared" si="14"/>
        <v>8</v>
      </c>
      <c r="AW19" s="13"/>
      <c r="AX19" s="12"/>
      <c r="AY19" s="12">
        <f t="shared" si="15"/>
        <v>8</v>
      </c>
      <c r="AZ19" s="13"/>
      <c r="BA19" s="12"/>
      <c r="BB19" s="12">
        <f t="shared" si="16"/>
        <v>8</v>
      </c>
      <c r="BC19" s="13"/>
      <c r="BD19" s="12"/>
      <c r="BE19" s="12">
        <f t="shared" si="17"/>
        <v>8</v>
      </c>
      <c r="BF19" s="13"/>
      <c r="BG19" s="12"/>
      <c r="BH19" s="12">
        <f t="shared" si="18"/>
        <v>8</v>
      </c>
      <c r="BI19" s="13"/>
      <c r="BJ19" s="12"/>
      <c r="BK19" s="12">
        <f t="shared" si="19"/>
        <v>8</v>
      </c>
      <c r="BL19" s="13"/>
      <c r="BM19" s="12"/>
      <c r="BN19" s="12">
        <f t="shared" si="20"/>
        <v>8</v>
      </c>
      <c r="BO19" s="13"/>
      <c r="BP19" s="14">
        <f t="shared" si="21"/>
        <v>0</v>
      </c>
      <c r="BQ19" s="14">
        <f t="shared" si="22"/>
        <v>8</v>
      </c>
    </row>
    <row r="20" ht="72.75" customHeight="1">
      <c r="A20" s="1"/>
      <c r="B20" s="15"/>
      <c r="C20" s="15"/>
      <c r="D20" s="22" t="s">
        <v>135</v>
      </c>
      <c r="E20" s="11" t="s">
        <v>54</v>
      </c>
      <c r="F20" s="11" t="s">
        <v>40</v>
      </c>
      <c r="G20" s="11">
        <v>5.0</v>
      </c>
      <c r="H20" s="12"/>
      <c r="I20" s="12">
        <f t="shared" si="1"/>
        <v>5</v>
      </c>
      <c r="J20" s="13"/>
      <c r="K20" s="12"/>
      <c r="L20" s="12">
        <f t="shared" si="2"/>
        <v>5</v>
      </c>
      <c r="M20" s="13"/>
      <c r="N20" s="12"/>
      <c r="O20" s="12">
        <f t="shared" si="3"/>
        <v>5</v>
      </c>
      <c r="P20" s="13"/>
      <c r="Q20" s="12"/>
      <c r="R20" s="12">
        <f t="shared" si="4"/>
        <v>5</v>
      </c>
      <c r="S20" s="13"/>
      <c r="T20" s="12"/>
      <c r="U20" s="12">
        <f t="shared" si="5"/>
        <v>5</v>
      </c>
      <c r="V20" s="13"/>
      <c r="W20" s="12"/>
      <c r="X20" s="12">
        <f t="shared" si="6"/>
        <v>5</v>
      </c>
      <c r="Y20" s="13"/>
      <c r="Z20" s="12"/>
      <c r="AA20" s="12">
        <f t="shared" si="7"/>
        <v>5</v>
      </c>
      <c r="AB20" s="13"/>
      <c r="AC20" s="12"/>
      <c r="AD20" s="12">
        <f t="shared" si="8"/>
        <v>5</v>
      </c>
      <c r="AE20" s="13"/>
      <c r="AF20" s="12"/>
      <c r="AG20" s="12">
        <f t="shared" si="9"/>
        <v>5</v>
      </c>
      <c r="AH20" s="13"/>
      <c r="AI20" s="12"/>
      <c r="AJ20" s="12">
        <f t="shared" si="10"/>
        <v>5</v>
      </c>
      <c r="AK20" s="13"/>
      <c r="AL20" s="12"/>
      <c r="AM20" s="12">
        <f t="shared" si="11"/>
        <v>5</v>
      </c>
      <c r="AN20" s="13"/>
      <c r="AO20" s="12"/>
      <c r="AP20" s="12">
        <f t="shared" si="12"/>
        <v>5</v>
      </c>
      <c r="AQ20" s="13"/>
      <c r="AR20" s="12"/>
      <c r="AS20" s="12">
        <f t="shared" si="13"/>
        <v>5</v>
      </c>
      <c r="AT20" s="13"/>
      <c r="AU20" s="12"/>
      <c r="AV20" s="12">
        <f t="shared" si="14"/>
        <v>5</v>
      </c>
      <c r="AW20" s="13"/>
      <c r="AX20" s="12"/>
      <c r="AY20" s="12">
        <f t="shared" si="15"/>
        <v>5</v>
      </c>
      <c r="AZ20" s="13"/>
      <c r="BA20" s="12"/>
      <c r="BB20" s="12">
        <f t="shared" si="16"/>
        <v>5</v>
      </c>
      <c r="BC20" s="13"/>
      <c r="BD20" s="12"/>
      <c r="BE20" s="12">
        <f t="shared" si="17"/>
        <v>5</v>
      </c>
      <c r="BF20" s="13"/>
      <c r="BG20" s="12"/>
      <c r="BH20" s="12">
        <f t="shared" si="18"/>
        <v>5</v>
      </c>
      <c r="BI20" s="13"/>
      <c r="BJ20" s="12"/>
      <c r="BK20" s="12">
        <f t="shared" si="19"/>
        <v>5</v>
      </c>
      <c r="BL20" s="13"/>
      <c r="BM20" s="12"/>
      <c r="BN20" s="12">
        <f t="shared" si="20"/>
        <v>5</v>
      </c>
      <c r="BO20" s="13"/>
      <c r="BP20" s="14">
        <f t="shared" si="21"/>
        <v>0</v>
      </c>
      <c r="BQ20" s="14">
        <f t="shared" si="22"/>
        <v>5</v>
      </c>
    </row>
    <row r="21" ht="56.25" customHeight="1">
      <c r="A21" s="1"/>
      <c r="B21" s="16"/>
      <c r="C21" s="16"/>
      <c r="D21" s="22" t="s">
        <v>141</v>
      </c>
      <c r="E21" s="11" t="s">
        <v>35</v>
      </c>
      <c r="F21" s="11" t="s">
        <v>40</v>
      </c>
      <c r="G21" s="11">
        <v>3.0</v>
      </c>
      <c r="H21" s="12"/>
      <c r="I21" s="12">
        <f t="shared" si="1"/>
        <v>3</v>
      </c>
      <c r="J21" s="13"/>
      <c r="K21" s="12"/>
      <c r="L21" s="12">
        <f t="shared" si="2"/>
        <v>3</v>
      </c>
      <c r="M21" s="13"/>
      <c r="N21" s="12"/>
      <c r="O21" s="12">
        <f t="shared" si="3"/>
        <v>3</v>
      </c>
      <c r="P21" s="13"/>
      <c r="Q21" s="12"/>
      <c r="R21" s="12">
        <f t="shared" si="4"/>
        <v>3</v>
      </c>
      <c r="S21" s="13"/>
      <c r="T21" s="12"/>
      <c r="U21" s="12">
        <f t="shared" si="5"/>
        <v>3</v>
      </c>
      <c r="V21" s="13"/>
      <c r="W21" s="12"/>
      <c r="X21" s="12">
        <f t="shared" si="6"/>
        <v>3</v>
      </c>
      <c r="Y21" s="13"/>
      <c r="Z21" s="12"/>
      <c r="AA21" s="12">
        <f t="shared" si="7"/>
        <v>3</v>
      </c>
      <c r="AB21" s="13"/>
      <c r="AC21" s="12"/>
      <c r="AD21" s="12">
        <f t="shared" si="8"/>
        <v>3</v>
      </c>
      <c r="AE21" s="13"/>
      <c r="AF21" s="12"/>
      <c r="AG21" s="12">
        <f t="shared" si="9"/>
        <v>3</v>
      </c>
      <c r="AH21" s="13"/>
      <c r="AI21" s="12"/>
      <c r="AJ21" s="12">
        <f t="shared" si="10"/>
        <v>3</v>
      </c>
      <c r="AK21" s="13"/>
      <c r="AL21" s="12"/>
      <c r="AM21" s="12">
        <f t="shared" si="11"/>
        <v>3</v>
      </c>
      <c r="AN21" s="13"/>
      <c r="AO21" s="12"/>
      <c r="AP21" s="12">
        <f t="shared" si="12"/>
        <v>3</v>
      </c>
      <c r="AQ21" s="13"/>
      <c r="AR21" s="12"/>
      <c r="AS21" s="12">
        <f t="shared" si="13"/>
        <v>3</v>
      </c>
      <c r="AT21" s="13"/>
      <c r="AU21" s="12"/>
      <c r="AV21" s="12">
        <f t="shared" si="14"/>
        <v>3</v>
      </c>
      <c r="AW21" s="13"/>
      <c r="AX21" s="12"/>
      <c r="AY21" s="12">
        <f t="shared" si="15"/>
        <v>3</v>
      </c>
      <c r="AZ21" s="13"/>
      <c r="BA21" s="12"/>
      <c r="BB21" s="12">
        <f t="shared" si="16"/>
        <v>3</v>
      </c>
      <c r="BC21" s="13"/>
      <c r="BD21" s="12"/>
      <c r="BE21" s="12">
        <f t="shared" si="17"/>
        <v>3</v>
      </c>
      <c r="BF21" s="13"/>
      <c r="BG21" s="12"/>
      <c r="BH21" s="12">
        <f t="shared" si="18"/>
        <v>3</v>
      </c>
      <c r="BI21" s="13"/>
      <c r="BJ21" s="12"/>
      <c r="BK21" s="12">
        <f t="shared" si="19"/>
        <v>3</v>
      </c>
      <c r="BL21" s="13"/>
      <c r="BM21" s="12"/>
      <c r="BN21" s="12">
        <f t="shared" si="20"/>
        <v>3</v>
      </c>
      <c r="BO21" s="13"/>
      <c r="BP21" s="14">
        <f t="shared" si="21"/>
        <v>0</v>
      </c>
      <c r="BQ21" s="14">
        <f t="shared" si="22"/>
        <v>3</v>
      </c>
    </row>
    <row r="22" ht="87.75" customHeight="1">
      <c r="A22" s="1"/>
      <c r="B22" s="9" t="s">
        <v>150</v>
      </c>
      <c r="C22" s="9" t="s">
        <v>151</v>
      </c>
      <c r="D22" s="20" t="s">
        <v>152</v>
      </c>
      <c r="E22" s="11" t="s">
        <v>35</v>
      </c>
      <c r="F22" s="11" t="s">
        <v>40</v>
      </c>
      <c r="G22" s="11">
        <v>2.0</v>
      </c>
      <c r="H22" s="12"/>
      <c r="I22" s="12">
        <f t="shared" si="1"/>
        <v>2</v>
      </c>
      <c r="J22" s="13"/>
      <c r="K22" s="12"/>
      <c r="L22" s="12">
        <f t="shared" si="2"/>
        <v>2</v>
      </c>
      <c r="M22" s="13"/>
      <c r="N22" s="12"/>
      <c r="O22" s="12">
        <f t="shared" si="3"/>
        <v>2</v>
      </c>
      <c r="P22" s="13"/>
      <c r="Q22" s="12"/>
      <c r="R22" s="12">
        <f t="shared" si="4"/>
        <v>2</v>
      </c>
      <c r="S22" s="13"/>
      <c r="T22" s="12"/>
      <c r="U22" s="12">
        <f t="shared" si="5"/>
        <v>2</v>
      </c>
      <c r="V22" s="13"/>
      <c r="W22" s="12"/>
      <c r="X22" s="12">
        <f t="shared" si="6"/>
        <v>2</v>
      </c>
      <c r="Y22" s="13"/>
      <c r="Z22" s="12"/>
      <c r="AA22" s="12">
        <f t="shared" si="7"/>
        <v>2</v>
      </c>
      <c r="AB22" s="13"/>
      <c r="AC22" s="12"/>
      <c r="AD22" s="12">
        <f t="shared" si="8"/>
        <v>2</v>
      </c>
      <c r="AE22" s="13"/>
      <c r="AF22" s="12"/>
      <c r="AG22" s="12">
        <f t="shared" si="9"/>
        <v>2</v>
      </c>
      <c r="AH22" s="13"/>
      <c r="AI22" s="12"/>
      <c r="AJ22" s="12">
        <f t="shared" si="10"/>
        <v>2</v>
      </c>
      <c r="AK22" s="13"/>
      <c r="AL22" s="12"/>
      <c r="AM22" s="12">
        <f t="shared" si="11"/>
        <v>2</v>
      </c>
      <c r="AN22" s="13"/>
      <c r="AO22" s="12"/>
      <c r="AP22" s="12">
        <f t="shared" si="12"/>
        <v>2</v>
      </c>
      <c r="AQ22" s="13"/>
      <c r="AR22" s="12"/>
      <c r="AS22" s="12">
        <f t="shared" si="13"/>
        <v>2</v>
      </c>
      <c r="AT22" s="13"/>
      <c r="AU22" s="12"/>
      <c r="AV22" s="12">
        <f t="shared" si="14"/>
        <v>2</v>
      </c>
      <c r="AW22" s="13"/>
      <c r="AX22" s="12"/>
      <c r="AY22" s="12">
        <f t="shared" si="15"/>
        <v>2</v>
      </c>
      <c r="AZ22" s="13"/>
      <c r="BA22" s="12"/>
      <c r="BB22" s="12">
        <f t="shared" si="16"/>
        <v>2</v>
      </c>
      <c r="BC22" s="13"/>
      <c r="BD22" s="12"/>
      <c r="BE22" s="12">
        <f t="shared" si="17"/>
        <v>2</v>
      </c>
      <c r="BF22" s="13"/>
      <c r="BG22" s="12"/>
      <c r="BH22" s="12">
        <f t="shared" si="18"/>
        <v>2</v>
      </c>
      <c r="BI22" s="13"/>
      <c r="BJ22" s="12"/>
      <c r="BK22" s="12">
        <f t="shared" si="19"/>
        <v>2</v>
      </c>
      <c r="BL22" s="13"/>
      <c r="BM22" s="12"/>
      <c r="BN22" s="12">
        <f t="shared" si="20"/>
        <v>2</v>
      </c>
      <c r="BO22" s="13"/>
      <c r="BP22" s="14">
        <f t="shared" si="21"/>
        <v>0</v>
      </c>
      <c r="BQ22" s="14">
        <f t="shared" si="22"/>
        <v>2</v>
      </c>
    </row>
    <row r="23" ht="60.0" customHeight="1">
      <c r="A23" s="1"/>
      <c r="B23" s="15"/>
      <c r="C23" s="15"/>
      <c r="D23" s="21" t="s">
        <v>156</v>
      </c>
      <c r="E23" s="11" t="s">
        <v>54</v>
      </c>
      <c r="F23" s="11" t="s">
        <v>40</v>
      </c>
      <c r="G23" s="11">
        <v>8.0</v>
      </c>
      <c r="H23" s="12"/>
      <c r="I23" s="12">
        <f t="shared" si="1"/>
        <v>8</v>
      </c>
      <c r="J23" s="13"/>
      <c r="K23" s="12"/>
      <c r="L23" s="12">
        <f t="shared" si="2"/>
        <v>8</v>
      </c>
      <c r="M23" s="13"/>
      <c r="N23" s="12"/>
      <c r="O23" s="12">
        <f t="shared" si="3"/>
        <v>8</v>
      </c>
      <c r="P23" s="13"/>
      <c r="Q23" s="12"/>
      <c r="R23" s="12">
        <f t="shared" si="4"/>
        <v>8</v>
      </c>
      <c r="S23" s="13"/>
      <c r="T23" s="12"/>
      <c r="U23" s="12">
        <f t="shared" si="5"/>
        <v>8</v>
      </c>
      <c r="V23" s="13"/>
      <c r="W23" s="12"/>
      <c r="X23" s="12">
        <f t="shared" si="6"/>
        <v>8</v>
      </c>
      <c r="Y23" s="13"/>
      <c r="Z23" s="12"/>
      <c r="AA23" s="12">
        <f t="shared" si="7"/>
        <v>8</v>
      </c>
      <c r="AB23" s="13"/>
      <c r="AC23" s="12"/>
      <c r="AD23" s="12">
        <f t="shared" si="8"/>
        <v>8</v>
      </c>
      <c r="AE23" s="13"/>
      <c r="AF23" s="12"/>
      <c r="AG23" s="12">
        <f t="shared" si="9"/>
        <v>8</v>
      </c>
      <c r="AH23" s="13"/>
      <c r="AI23" s="12"/>
      <c r="AJ23" s="12">
        <f t="shared" si="10"/>
        <v>8</v>
      </c>
      <c r="AK23" s="13"/>
      <c r="AL23" s="12"/>
      <c r="AM23" s="12">
        <f t="shared" si="11"/>
        <v>8</v>
      </c>
      <c r="AN23" s="13"/>
      <c r="AO23" s="12"/>
      <c r="AP23" s="12">
        <f t="shared" si="12"/>
        <v>8</v>
      </c>
      <c r="AQ23" s="13"/>
      <c r="AR23" s="12"/>
      <c r="AS23" s="12">
        <f t="shared" si="13"/>
        <v>8</v>
      </c>
      <c r="AT23" s="13"/>
      <c r="AU23" s="12"/>
      <c r="AV23" s="12">
        <f t="shared" si="14"/>
        <v>8</v>
      </c>
      <c r="AW23" s="13"/>
      <c r="AX23" s="12"/>
      <c r="AY23" s="12">
        <f t="shared" si="15"/>
        <v>8</v>
      </c>
      <c r="AZ23" s="13"/>
      <c r="BA23" s="12"/>
      <c r="BB23" s="12">
        <f t="shared" si="16"/>
        <v>8</v>
      </c>
      <c r="BC23" s="13"/>
      <c r="BD23" s="12"/>
      <c r="BE23" s="12">
        <f t="shared" si="17"/>
        <v>8</v>
      </c>
      <c r="BF23" s="13"/>
      <c r="BG23" s="12"/>
      <c r="BH23" s="12">
        <f t="shared" si="18"/>
        <v>8</v>
      </c>
      <c r="BI23" s="13"/>
      <c r="BJ23" s="12"/>
      <c r="BK23" s="12">
        <f t="shared" si="19"/>
        <v>8</v>
      </c>
      <c r="BL23" s="13"/>
      <c r="BM23" s="12"/>
      <c r="BN23" s="12">
        <f t="shared" si="20"/>
        <v>8</v>
      </c>
      <c r="BO23" s="13"/>
      <c r="BP23" s="14">
        <f t="shared" si="21"/>
        <v>0</v>
      </c>
      <c r="BQ23" s="14">
        <f t="shared" si="22"/>
        <v>8</v>
      </c>
    </row>
    <row r="24" ht="68.25" customHeight="1">
      <c r="A24" s="1"/>
      <c r="B24" s="15"/>
      <c r="C24" s="15"/>
      <c r="D24" s="21" t="s">
        <v>161</v>
      </c>
      <c r="E24" s="11" t="s">
        <v>54</v>
      </c>
      <c r="F24" s="11" t="s">
        <v>40</v>
      </c>
      <c r="G24" s="11">
        <v>4.0</v>
      </c>
      <c r="H24" s="12"/>
      <c r="I24" s="12">
        <f t="shared" si="1"/>
        <v>4</v>
      </c>
      <c r="J24" s="13"/>
      <c r="K24" s="12"/>
      <c r="L24" s="12">
        <f t="shared" si="2"/>
        <v>4</v>
      </c>
      <c r="M24" s="13"/>
      <c r="N24" s="12"/>
      <c r="O24" s="12">
        <f t="shared" si="3"/>
        <v>4</v>
      </c>
      <c r="P24" s="13"/>
      <c r="Q24" s="12"/>
      <c r="R24" s="12">
        <f t="shared" si="4"/>
        <v>4</v>
      </c>
      <c r="S24" s="13"/>
      <c r="T24" s="12"/>
      <c r="U24" s="12">
        <f t="shared" si="5"/>
        <v>4</v>
      </c>
      <c r="V24" s="13"/>
      <c r="W24" s="12"/>
      <c r="X24" s="12">
        <f t="shared" si="6"/>
        <v>4</v>
      </c>
      <c r="Y24" s="13"/>
      <c r="Z24" s="12"/>
      <c r="AA24" s="12">
        <f t="shared" si="7"/>
        <v>4</v>
      </c>
      <c r="AB24" s="13"/>
      <c r="AC24" s="12"/>
      <c r="AD24" s="12">
        <f t="shared" si="8"/>
        <v>4</v>
      </c>
      <c r="AE24" s="13"/>
      <c r="AF24" s="12"/>
      <c r="AG24" s="12">
        <f t="shared" si="9"/>
        <v>4</v>
      </c>
      <c r="AH24" s="13"/>
      <c r="AI24" s="12"/>
      <c r="AJ24" s="12">
        <f t="shared" si="10"/>
        <v>4</v>
      </c>
      <c r="AK24" s="13"/>
      <c r="AL24" s="12"/>
      <c r="AM24" s="12">
        <f t="shared" si="11"/>
        <v>4</v>
      </c>
      <c r="AN24" s="13"/>
      <c r="AO24" s="12"/>
      <c r="AP24" s="12">
        <f t="shared" si="12"/>
        <v>4</v>
      </c>
      <c r="AQ24" s="13"/>
      <c r="AR24" s="12"/>
      <c r="AS24" s="12">
        <f t="shared" si="13"/>
        <v>4</v>
      </c>
      <c r="AT24" s="13"/>
      <c r="AU24" s="12"/>
      <c r="AV24" s="12">
        <f t="shared" si="14"/>
        <v>4</v>
      </c>
      <c r="AW24" s="13"/>
      <c r="AX24" s="12"/>
      <c r="AY24" s="12">
        <f t="shared" si="15"/>
        <v>4</v>
      </c>
      <c r="AZ24" s="13"/>
      <c r="BA24" s="12"/>
      <c r="BB24" s="12">
        <f t="shared" si="16"/>
        <v>4</v>
      </c>
      <c r="BC24" s="13"/>
      <c r="BD24" s="12"/>
      <c r="BE24" s="12">
        <f t="shared" si="17"/>
        <v>4</v>
      </c>
      <c r="BF24" s="13"/>
      <c r="BG24" s="12"/>
      <c r="BH24" s="12">
        <f t="shared" si="18"/>
        <v>4</v>
      </c>
      <c r="BI24" s="13"/>
      <c r="BJ24" s="12"/>
      <c r="BK24" s="12">
        <f t="shared" si="19"/>
        <v>4</v>
      </c>
      <c r="BL24" s="13"/>
      <c r="BM24" s="12"/>
      <c r="BN24" s="12">
        <f t="shared" si="20"/>
        <v>4</v>
      </c>
      <c r="BO24" s="13"/>
      <c r="BP24" s="14">
        <f t="shared" si="21"/>
        <v>0</v>
      </c>
      <c r="BQ24" s="14">
        <f t="shared" si="22"/>
        <v>4</v>
      </c>
    </row>
    <row r="25" ht="96.0" customHeight="1">
      <c r="A25" s="1"/>
      <c r="B25" s="16"/>
      <c r="C25" s="16"/>
      <c r="D25" s="21" t="s">
        <v>169</v>
      </c>
      <c r="E25" s="11" t="s">
        <v>35</v>
      </c>
      <c r="F25" s="11" t="s">
        <v>40</v>
      </c>
      <c r="G25" s="11">
        <v>3.0</v>
      </c>
      <c r="H25" s="12"/>
      <c r="I25" s="12">
        <f t="shared" si="1"/>
        <v>3</v>
      </c>
      <c r="J25" s="13"/>
      <c r="K25" s="12"/>
      <c r="L25" s="12">
        <f t="shared" si="2"/>
        <v>3</v>
      </c>
      <c r="M25" s="13"/>
      <c r="N25" s="12"/>
      <c r="O25" s="12">
        <f t="shared" si="3"/>
        <v>3</v>
      </c>
      <c r="P25" s="13"/>
      <c r="Q25" s="12"/>
      <c r="R25" s="12">
        <f t="shared" si="4"/>
        <v>3</v>
      </c>
      <c r="S25" s="13"/>
      <c r="T25" s="12"/>
      <c r="U25" s="12">
        <f t="shared" si="5"/>
        <v>3</v>
      </c>
      <c r="V25" s="13"/>
      <c r="W25" s="12"/>
      <c r="X25" s="12">
        <f t="shared" si="6"/>
        <v>3</v>
      </c>
      <c r="Y25" s="13"/>
      <c r="Z25" s="12"/>
      <c r="AA25" s="12">
        <f t="shared" si="7"/>
        <v>3</v>
      </c>
      <c r="AB25" s="13"/>
      <c r="AC25" s="12"/>
      <c r="AD25" s="12">
        <f t="shared" si="8"/>
        <v>3</v>
      </c>
      <c r="AE25" s="13"/>
      <c r="AF25" s="12"/>
      <c r="AG25" s="12">
        <f t="shared" si="9"/>
        <v>3</v>
      </c>
      <c r="AH25" s="13"/>
      <c r="AI25" s="12"/>
      <c r="AJ25" s="12">
        <f t="shared" si="10"/>
        <v>3</v>
      </c>
      <c r="AK25" s="13"/>
      <c r="AL25" s="12"/>
      <c r="AM25" s="12">
        <f t="shared" si="11"/>
        <v>3</v>
      </c>
      <c r="AN25" s="13"/>
      <c r="AO25" s="12"/>
      <c r="AP25" s="12">
        <f t="shared" si="12"/>
        <v>3</v>
      </c>
      <c r="AQ25" s="13"/>
      <c r="AR25" s="12"/>
      <c r="AS25" s="12">
        <f t="shared" si="13"/>
        <v>3</v>
      </c>
      <c r="AT25" s="13"/>
      <c r="AU25" s="12"/>
      <c r="AV25" s="12">
        <f t="shared" si="14"/>
        <v>3</v>
      </c>
      <c r="AW25" s="13"/>
      <c r="AX25" s="12"/>
      <c r="AY25" s="12">
        <f t="shared" si="15"/>
        <v>3</v>
      </c>
      <c r="AZ25" s="13"/>
      <c r="BA25" s="12"/>
      <c r="BB25" s="12">
        <f t="shared" si="16"/>
        <v>3</v>
      </c>
      <c r="BC25" s="13"/>
      <c r="BD25" s="12"/>
      <c r="BE25" s="12">
        <f t="shared" si="17"/>
        <v>3</v>
      </c>
      <c r="BF25" s="13"/>
      <c r="BG25" s="12"/>
      <c r="BH25" s="12">
        <f t="shared" si="18"/>
        <v>3</v>
      </c>
      <c r="BI25" s="13"/>
      <c r="BJ25" s="12"/>
      <c r="BK25" s="12">
        <f t="shared" si="19"/>
        <v>3</v>
      </c>
      <c r="BL25" s="13"/>
      <c r="BM25" s="12"/>
      <c r="BN25" s="12">
        <f t="shared" si="20"/>
        <v>3</v>
      </c>
      <c r="BO25" s="13"/>
      <c r="BP25" s="14">
        <f t="shared" si="21"/>
        <v>0</v>
      </c>
      <c r="BQ25" s="14">
        <f t="shared" si="22"/>
        <v>3</v>
      </c>
    </row>
    <row r="26" ht="55.5" customHeight="1">
      <c r="A26" s="1"/>
      <c r="B26" s="9" t="s">
        <v>173</v>
      </c>
      <c r="C26" s="9" t="s">
        <v>174</v>
      </c>
      <c r="D26" s="20" t="s">
        <v>175</v>
      </c>
      <c r="E26" s="11" t="s">
        <v>35</v>
      </c>
      <c r="F26" s="11" t="s">
        <v>40</v>
      </c>
      <c r="G26" s="11">
        <v>2.0</v>
      </c>
      <c r="H26" s="12"/>
      <c r="I26" s="12">
        <f t="shared" si="1"/>
        <v>2</v>
      </c>
      <c r="J26" s="13"/>
      <c r="K26" s="12"/>
      <c r="L26" s="12">
        <f t="shared" si="2"/>
        <v>2</v>
      </c>
      <c r="M26" s="13"/>
      <c r="N26" s="12"/>
      <c r="O26" s="12">
        <f t="shared" si="3"/>
        <v>2</v>
      </c>
      <c r="P26" s="13"/>
      <c r="Q26" s="12"/>
      <c r="R26" s="12">
        <f t="shared" si="4"/>
        <v>2</v>
      </c>
      <c r="S26" s="13"/>
      <c r="T26" s="12"/>
      <c r="U26" s="12">
        <f t="shared" si="5"/>
        <v>2</v>
      </c>
      <c r="V26" s="13"/>
      <c r="W26" s="12"/>
      <c r="X26" s="12">
        <f t="shared" si="6"/>
        <v>2</v>
      </c>
      <c r="Y26" s="13"/>
      <c r="Z26" s="12"/>
      <c r="AA26" s="12">
        <f t="shared" si="7"/>
        <v>2</v>
      </c>
      <c r="AB26" s="13"/>
      <c r="AC26" s="12"/>
      <c r="AD26" s="12">
        <f t="shared" si="8"/>
        <v>2</v>
      </c>
      <c r="AE26" s="13"/>
      <c r="AF26" s="12"/>
      <c r="AG26" s="12">
        <f t="shared" si="9"/>
        <v>2</v>
      </c>
      <c r="AH26" s="13"/>
      <c r="AI26" s="12"/>
      <c r="AJ26" s="12">
        <f t="shared" si="10"/>
        <v>2</v>
      </c>
      <c r="AK26" s="13"/>
      <c r="AL26" s="12"/>
      <c r="AM26" s="12">
        <f t="shared" si="11"/>
        <v>2</v>
      </c>
      <c r="AN26" s="13"/>
      <c r="AO26" s="12"/>
      <c r="AP26" s="12">
        <f t="shared" si="12"/>
        <v>2</v>
      </c>
      <c r="AQ26" s="13"/>
      <c r="AR26" s="12"/>
      <c r="AS26" s="12">
        <f t="shared" si="13"/>
        <v>2</v>
      </c>
      <c r="AT26" s="13"/>
      <c r="AU26" s="12"/>
      <c r="AV26" s="12">
        <f t="shared" si="14"/>
        <v>2</v>
      </c>
      <c r="AW26" s="13"/>
      <c r="AX26" s="12"/>
      <c r="AY26" s="12">
        <f t="shared" si="15"/>
        <v>2</v>
      </c>
      <c r="AZ26" s="13"/>
      <c r="BA26" s="12"/>
      <c r="BB26" s="12">
        <f t="shared" si="16"/>
        <v>2</v>
      </c>
      <c r="BC26" s="13"/>
      <c r="BD26" s="12"/>
      <c r="BE26" s="12">
        <f t="shared" si="17"/>
        <v>2</v>
      </c>
      <c r="BF26" s="13"/>
      <c r="BG26" s="12"/>
      <c r="BH26" s="12">
        <f t="shared" si="18"/>
        <v>2</v>
      </c>
      <c r="BI26" s="13"/>
      <c r="BJ26" s="12"/>
      <c r="BK26" s="12">
        <f t="shared" si="19"/>
        <v>2</v>
      </c>
      <c r="BL26" s="13"/>
      <c r="BM26" s="12"/>
      <c r="BN26" s="12">
        <f t="shared" si="20"/>
        <v>2</v>
      </c>
      <c r="BO26" s="13"/>
      <c r="BP26" s="14">
        <f t="shared" si="21"/>
        <v>0</v>
      </c>
      <c r="BQ26" s="14">
        <f t="shared" si="22"/>
        <v>2</v>
      </c>
    </row>
    <row r="27" ht="90.75" customHeight="1">
      <c r="A27" s="1"/>
      <c r="B27" s="15"/>
      <c r="C27" s="15"/>
      <c r="D27" s="21" t="s">
        <v>178</v>
      </c>
      <c r="E27" s="11" t="s">
        <v>54</v>
      </c>
      <c r="F27" s="11" t="s">
        <v>40</v>
      </c>
      <c r="G27" s="11">
        <v>8.0</v>
      </c>
      <c r="H27" s="12"/>
      <c r="I27" s="12">
        <f t="shared" si="1"/>
        <v>8</v>
      </c>
      <c r="J27" s="13"/>
      <c r="K27" s="12"/>
      <c r="L27" s="12">
        <f t="shared" si="2"/>
        <v>8</v>
      </c>
      <c r="M27" s="13"/>
      <c r="N27" s="12"/>
      <c r="O27" s="12">
        <f t="shared" si="3"/>
        <v>8</v>
      </c>
      <c r="P27" s="13"/>
      <c r="Q27" s="12"/>
      <c r="R27" s="12">
        <f t="shared" si="4"/>
        <v>8</v>
      </c>
      <c r="S27" s="13"/>
      <c r="T27" s="12"/>
      <c r="U27" s="12">
        <f t="shared" si="5"/>
        <v>8</v>
      </c>
      <c r="V27" s="13"/>
      <c r="W27" s="12"/>
      <c r="X27" s="12">
        <f t="shared" si="6"/>
        <v>8</v>
      </c>
      <c r="Y27" s="13"/>
      <c r="Z27" s="12"/>
      <c r="AA27" s="12">
        <f t="shared" si="7"/>
        <v>8</v>
      </c>
      <c r="AB27" s="13"/>
      <c r="AC27" s="12"/>
      <c r="AD27" s="12">
        <f t="shared" si="8"/>
        <v>8</v>
      </c>
      <c r="AE27" s="13"/>
      <c r="AF27" s="12"/>
      <c r="AG27" s="12">
        <f t="shared" si="9"/>
        <v>8</v>
      </c>
      <c r="AH27" s="13"/>
      <c r="AI27" s="12"/>
      <c r="AJ27" s="12">
        <f t="shared" si="10"/>
        <v>8</v>
      </c>
      <c r="AK27" s="13"/>
      <c r="AL27" s="12"/>
      <c r="AM27" s="12">
        <f t="shared" si="11"/>
        <v>8</v>
      </c>
      <c r="AN27" s="13"/>
      <c r="AO27" s="12"/>
      <c r="AP27" s="12">
        <f t="shared" si="12"/>
        <v>8</v>
      </c>
      <c r="AQ27" s="13"/>
      <c r="AR27" s="12"/>
      <c r="AS27" s="12">
        <f t="shared" si="13"/>
        <v>8</v>
      </c>
      <c r="AT27" s="13"/>
      <c r="AU27" s="12"/>
      <c r="AV27" s="12">
        <f t="shared" si="14"/>
        <v>8</v>
      </c>
      <c r="AW27" s="13"/>
      <c r="AX27" s="12"/>
      <c r="AY27" s="12">
        <f t="shared" si="15"/>
        <v>8</v>
      </c>
      <c r="AZ27" s="13"/>
      <c r="BA27" s="12"/>
      <c r="BB27" s="12">
        <f t="shared" si="16"/>
        <v>8</v>
      </c>
      <c r="BC27" s="13"/>
      <c r="BD27" s="12"/>
      <c r="BE27" s="12">
        <f t="shared" si="17"/>
        <v>8</v>
      </c>
      <c r="BF27" s="13"/>
      <c r="BG27" s="12"/>
      <c r="BH27" s="12">
        <f t="shared" si="18"/>
        <v>8</v>
      </c>
      <c r="BI27" s="13"/>
      <c r="BJ27" s="12"/>
      <c r="BK27" s="12">
        <f t="shared" si="19"/>
        <v>8</v>
      </c>
      <c r="BL27" s="13"/>
      <c r="BM27" s="12"/>
      <c r="BN27" s="12">
        <f t="shared" si="20"/>
        <v>8</v>
      </c>
      <c r="BO27" s="13"/>
      <c r="BP27" s="14">
        <f t="shared" si="21"/>
        <v>0</v>
      </c>
      <c r="BQ27" s="14">
        <f t="shared" si="22"/>
        <v>8</v>
      </c>
    </row>
    <row r="28" ht="58.5" customHeight="1">
      <c r="A28" s="1"/>
      <c r="B28" s="15"/>
      <c r="C28" s="15"/>
      <c r="D28" s="21" t="s">
        <v>181</v>
      </c>
      <c r="E28" s="11" t="s">
        <v>54</v>
      </c>
      <c r="F28" s="11" t="s">
        <v>40</v>
      </c>
      <c r="G28" s="11">
        <v>2.0</v>
      </c>
      <c r="H28" s="12"/>
      <c r="I28" s="12">
        <f t="shared" si="1"/>
        <v>2</v>
      </c>
      <c r="J28" s="13"/>
      <c r="K28" s="12"/>
      <c r="L28" s="12">
        <f t="shared" si="2"/>
        <v>2</v>
      </c>
      <c r="M28" s="13"/>
      <c r="N28" s="12"/>
      <c r="O28" s="12">
        <f t="shared" si="3"/>
        <v>2</v>
      </c>
      <c r="P28" s="13"/>
      <c r="Q28" s="12"/>
      <c r="R28" s="12">
        <f t="shared" si="4"/>
        <v>2</v>
      </c>
      <c r="S28" s="13"/>
      <c r="T28" s="12"/>
      <c r="U28" s="12">
        <f t="shared" si="5"/>
        <v>2</v>
      </c>
      <c r="V28" s="13"/>
      <c r="W28" s="12"/>
      <c r="X28" s="12">
        <f t="shared" si="6"/>
        <v>2</v>
      </c>
      <c r="Y28" s="13"/>
      <c r="Z28" s="12"/>
      <c r="AA28" s="12">
        <f t="shared" si="7"/>
        <v>2</v>
      </c>
      <c r="AB28" s="13"/>
      <c r="AC28" s="12"/>
      <c r="AD28" s="12">
        <f t="shared" si="8"/>
        <v>2</v>
      </c>
      <c r="AE28" s="13"/>
      <c r="AF28" s="12"/>
      <c r="AG28" s="12">
        <f t="shared" si="9"/>
        <v>2</v>
      </c>
      <c r="AH28" s="13"/>
      <c r="AI28" s="12"/>
      <c r="AJ28" s="12">
        <f t="shared" si="10"/>
        <v>2</v>
      </c>
      <c r="AK28" s="13"/>
      <c r="AL28" s="12"/>
      <c r="AM28" s="12">
        <f t="shared" si="11"/>
        <v>2</v>
      </c>
      <c r="AN28" s="13"/>
      <c r="AO28" s="12"/>
      <c r="AP28" s="12">
        <f t="shared" si="12"/>
        <v>2</v>
      </c>
      <c r="AQ28" s="13"/>
      <c r="AR28" s="12"/>
      <c r="AS28" s="12">
        <f t="shared" si="13"/>
        <v>2</v>
      </c>
      <c r="AT28" s="13"/>
      <c r="AU28" s="12"/>
      <c r="AV28" s="12">
        <f t="shared" si="14"/>
        <v>2</v>
      </c>
      <c r="AW28" s="13"/>
      <c r="AX28" s="12"/>
      <c r="AY28" s="12">
        <f t="shared" si="15"/>
        <v>2</v>
      </c>
      <c r="AZ28" s="13"/>
      <c r="BA28" s="12"/>
      <c r="BB28" s="12">
        <f t="shared" si="16"/>
        <v>2</v>
      </c>
      <c r="BC28" s="13"/>
      <c r="BD28" s="12"/>
      <c r="BE28" s="12">
        <f t="shared" si="17"/>
        <v>2</v>
      </c>
      <c r="BF28" s="13"/>
      <c r="BG28" s="12"/>
      <c r="BH28" s="12">
        <f t="shared" si="18"/>
        <v>2</v>
      </c>
      <c r="BI28" s="13"/>
      <c r="BJ28" s="12"/>
      <c r="BK28" s="12">
        <f t="shared" si="19"/>
        <v>2</v>
      </c>
      <c r="BL28" s="13"/>
      <c r="BM28" s="12"/>
      <c r="BN28" s="12">
        <f t="shared" si="20"/>
        <v>2</v>
      </c>
      <c r="BO28" s="13"/>
      <c r="BP28" s="14">
        <f t="shared" si="21"/>
        <v>0</v>
      </c>
      <c r="BQ28" s="14">
        <f t="shared" si="22"/>
        <v>2</v>
      </c>
    </row>
    <row r="29" ht="81.0" customHeight="1">
      <c r="A29" s="33"/>
      <c r="B29" s="16"/>
      <c r="C29" s="16"/>
      <c r="D29" s="21" t="s">
        <v>185</v>
      </c>
      <c r="E29" s="11" t="s">
        <v>35</v>
      </c>
      <c r="F29" s="11" t="s">
        <v>40</v>
      </c>
      <c r="G29" s="11">
        <v>2.0</v>
      </c>
      <c r="H29" s="12"/>
      <c r="I29" s="12">
        <f t="shared" si="1"/>
        <v>2</v>
      </c>
      <c r="J29" s="13"/>
      <c r="K29" s="12"/>
      <c r="L29" s="12">
        <f t="shared" si="2"/>
        <v>2</v>
      </c>
      <c r="M29" s="13"/>
      <c r="N29" s="12"/>
      <c r="O29" s="12">
        <f t="shared" si="3"/>
        <v>2</v>
      </c>
      <c r="P29" s="13"/>
      <c r="Q29" s="12"/>
      <c r="R29" s="12">
        <f t="shared" si="4"/>
        <v>2</v>
      </c>
      <c r="S29" s="13"/>
      <c r="T29" s="12"/>
      <c r="U29" s="12">
        <f t="shared" si="5"/>
        <v>2</v>
      </c>
      <c r="V29" s="13"/>
      <c r="W29" s="12"/>
      <c r="X29" s="12">
        <f t="shared" si="6"/>
        <v>2</v>
      </c>
      <c r="Y29" s="13"/>
      <c r="Z29" s="12"/>
      <c r="AA29" s="12">
        <f t="shared" si="7"/>
        <v>2</v>
      </c>
      <c r="AB29" s="13"/>
      <c r="AC29" s="12"/>
      <c r="AD29" s="12">
        <f t="shared" si="8"/>
        <v>2</v>
      </c>
      <c r="AE29" s="13"/>
      <c r="AF29" s="12"/>
      <c r="AG29" s="12">
        <f t="shared" si="9"/>
        <v>2</v>
      </c>
      <c r="AH29" s="13"/>
      <c r="AI29" s="12"/>
      <c r="AJ29" s="12">
        <f t="shared" si="10"/>
        <v>2</v>
      </c>
      <c r="AK29" s="13"/>
      <c r="AL29" s="12"/>
      <c r="AM29" s="12">
        <f t="shared" si="11"/>
        <v>2</v>
      </c>
      <c r="AN29" s="13"/>
      <c r="AO29" s="12"/>
      <c r="AP29" s="12">
        <f t="shared" si="12"/>
        <v>2</v>
      </c>
      <c r="AQ29" s="13"/>
      <c r="AR29" s="12"/>
      <c r="AS29" s="12">
        <f t="shared" si="13"/>
        <v>2</v>
      </c>
      <c r="AT29" s="13"/>
      <c r="AU29" s="12"/>
      <c r="AV29" s="12">
        <f t="shared" si="14"/>
        <v>2</v>
      </c>
      <c r="AW29" s="13"/>
      <c r="AX29" s="12"/>
      <c r="AY29" s="12">
        <f t="shared" si="15"/>
        <v>2</v>
      </c>
      <c r="AZ29" s="13"/>
      <c r="BA29" s="12"/>
      <c r="BB29" s="12">
        <f t="shared" si="16"/>
        <v>2</v>
      </c>
      <c r="BC29" s="13"/>
      <c r="BD29" s="12"/>
      <c r="BE29" s="12">
        <f t="shared" si="17"/>
        <v>2</v>
      </c>
      <c r="BF29" s="13"/>
      <c r="BG29" s="12"/>
      <c r="BH29" s="12">
        <f t="shared" si="18"/>
        <v>2</v>
      </c>
      <c r="BI29" s="13"/>
      <c r="BJ29" s="12"/>
      <c r="BK29" s="12">
        <f t="shared" si="19"/>
        <v>2</v>
      </c>
      <c r="BL29" s="13"/>
      <c r="BM29" s="12"/>
      <c r="BN29" s="12">
        <f t="shared" si="20"/>
        <v>2</v>
      </c>
      <c r="BO29" s="13"/>
      <c r="BP29" s="14">
        <f t="shared" si="21"/>
        <v>0</v>
      </c>
      <c r="BQ29" s="14">
        <f t="shared" si="22"/>
        <v>2</v>
      </c>
    </row>
    <row r="30" ht="81.0" customHeight="1">
      <c r="A30" s="32"/>
      <c r="B30" s="9" t="s">
        <v>188</v>
      </c>
      <c r="C30" s="9" t="s">
        <v>189</v>
      </c>
      <c r="D30" s="21" t="s">
        <v>191</v>
      </c>
      <c r="E30" s="11" t="s">
        <v>35</v>
      </c>
      <c r="F30" s="11" t="s">
        <v>40</v>
      </c>
      <c r="G30" s="11">
        <v>2.0</v>
      </c>
      <c r="H30" s="12"/>
      <c r="I30" s="12"/>
      <c r="J30" s="13"/>
      <c r="K30" s="12"/>
      <c r="L30" s="12"/>
      <c r="M30" s="13"/>
      <c r="N30" s="12"/>
      <c r="O30" s="12"/>
      <c r="P30" s="13"/>
      <c r="Q30" s="12"/>
      <c r="R30" s="12"/>
      <c r="S30" s="13"/>
      <c r="T30" s="12"/>
      <c r="U30" s="12"/>
      <c r="V30" s="13"/>
      <c r="W30" s="12"/>
      <c r="X30" s="12"/>
      <c r="Y30" s="13"/>
      <c r="Z30" s="12"/>
      <c r="AA30" s="12"/>
      <c r="AB30" s="13"/>
      <c r="AC30" s="12"/>
      <c r="AD30" s="12"/>
      <c r="AE30" s="13"/>
      <c r="AF30" s="12"/>
      <c r="AG30" s="12"/>
      <c r="AH30" s="13"/>
      <c r="AI30" s="12"/>
      <c r="AJ30" s="12"/>
      <c r="AK30" s="13"/>
      <c r="AL30" s="12"/>
      <c r="AM30" s="12"/>
      <c r="AN30" s="13"/>
      <c r="AO30" s="12"/>
      <c r="AP30" s="12"/>
      <c r="AQ30" s="13"/>
      <c r="AR30" s="12"/>
      <c r="AS30" s="12"/>
      <c r="AT30" s="13"/>
      <c r="AU30" s="12"/>
      <c r="AV30" s="12"/>
      <c r="AW30" s="13"/>
      <c r="AX30" s="12"/>
      <c r="AY30" s="12"/>
      <c r="AZ30" s="13"/>
      <c r="BA30" s="12"/>
      <c r="BB30" s="12"/>
      <c r="BC30" s="13"/>
      <c r="BD30" s="12"/>
      <c r="BE30" s="12"/>
      <c r="BF30" s="13"/>
      <c r="BG30" s="12"/>
      <c r="BH30" s="12"/>
      <c r="BI30" s="13"/>
      <c r="BJ30" s="12"/>
      <c r="BK30" s="12"/>
      <c r="BL30" s="13"/>
      <c r="BM30" s="12"/>
      <c r="BN30" s="12"/>
      <c r="BO30" s="13"/>
      <c r="BP30" s="14"/>
      <c r="BQ30" s="14"/>
    </row>
    <row r="31" ht="81.0" customHeight="1">
      <c r="A31" s="32"/>
      <c r="B31" s="15"/>
      <c r="C31" s="15"/>
      <c r="D31" s="21" t="s">
        <v>192</v>
      </c>
      <c r="E31" s="11" t="s">
        <v>54</v>
      </c>
      <c r="F31" s="11" t="s">
        <v>40</v>
      </c>
      <c r="G31" s="11">
        <v>6.0</v>
      </c>
      <c r="H31" s="12"/>
      <c r="I31" s="12"/>
      <c r="J31" s="13"/>
      <c r="K31" s="12"/>
      <c r="L31" s="12"/>
      <c r="M31" s="13"/>
      <c r="N31" s="12"/>
      <c r="O31" s="12"/>
      <c r="P31" s="13"/>
      <c r="Q31" s="12"/>
      <c r="R31" s="12"/>
      <c r="S31" s="13"/>
      <c r="T31" s="12"/>
      <c r="U31" s="12"/>
      <c r="V31" s="13"/>
      <c r="W31" s="12"/>
      <c r="X31" s="12"/>
      <c r="Y31" s="13"/>
      <c r="Z31" s="12"/>
      <c r="AA31" s="12"/>
      <c r="AB31" s="13"/>
      <c r="AC31" s="12"/>
      <c r="AD31" s="12"/>
      <c r="AE31" s="13"/>
      <c r="AF31" s="12"/>
      <c r="AG31" s="12"/>
      <c r="AH31" s="13"/>
      <c r="AI31" s="12"/>
      <c r="AJ31" s="12"/>
      <c r="AK31" s="13"/>
      <c r="AL31" s="12"/>
      <c r="AM31" s="12"/>
      <c r="AN31" s="13"/>
      <c r="AO31" s="12"/>
      <c r="AP31" s="12"/>
      <c r="AQ31" s="13"/>
      <c r="AR31" s="12"/>
      <c r="AS31" s="12"/>
      <c r="AT31" s="13"/>
      <c r="AU31" s="12"/>
      <c r="AV31" s="12"/>
      <c r="AW31" s="13"/>
      <c r="AX31" s="12"/>
      <c r="AY31" s="12"/>
      <c r="AZ31" s="13"/>
      <c r="BA31" s="12"/>
      <c r="BB31" s="12"/>
      <c r="BC31" s="13"/>
      <c r="BD31" s="12"/>
      <c r="BE31" s="12"/>
      <c r="BF31" s="13"/>
      <c r="BG31" s="12"/>
      <c r="BH31" s="12"/>
      <c r="BI31" s="13"/>
      <c r="BJ31" s="12"/>
      <c r="BK31" s="12"/>
      <c r="BL31" s="13"/>
      <c r="BM31" s="12"/>
      <c r="BN31" s="12"/>
      <c r="BO31" s="13"/>
      <c r="BP31" s="14"/>
      <c r="BQ31" s="14"/>
    </row>
    <row r="32" ht="81.0" customHeight="1">
      <c r="A32" s="32"/>
      <c r="B32" s="15"/>
      <c r="C32" s="15"/>
      <c r="D32" s="21" t="s">
        <v>193</v>
      </c>
      <c r="E32" s="11" t="s">
        <v>54</v>
      </c>
      <c r="F32" s="11" t="s">
        <v>40</v>
      </c>
      <c r="G32" s="11">
        <v>8.0</v>
      </c>
      <c r="H32" s="12"/>
      <c r="I32" s="12"/>
      <c r="J32" s="13"/>
      <c r="K32" s="12"/>
      <c r="L32" s="12"/>
      <c r="M32" s="13"/>
      <c r="N32" s="12"/>
      <c r="O32" s="12"/>
      <c r="P32" s="13"/>
      <c r="Q32" s="12"/>
      <c r="R32" s="12"/>
      <c r="S32" s="13"/>
      <c r="T32" s="12"/>
      <c r="U32" s="12"/>
      <c r="V32" s="13"/>
      <c r="W32" s="12"/>
      <c r="X32" s="12"/>
      <c r="Y32" s="13"/>
      <c r="Z32" s="12"/>
      <c r="AA32" s="12"/>
      <c r="AB32" s="13"/>
      <c r="AC32" s="12"/>
      <c r="AD32" s="12"/>
      <c r="AE32" s="13"/>
      <c r="AF32" s="12"/>
      <c r="AG32" s="12"/>
      <c r="AH32" s="13"/>
      <c r="AI32" s="12"/>
      <c r="AJ32" s="12"/>
      <c r="AK32" s="13"/>
      <c r="AL32" s="12"/>
      <c r="AM32" s="12"/>
      <c r="AN32" s="13"/>
      <c r="AO32" s="12"/>
      <c r="AP32" s="12"/>
      <c r="AQ32" s="13"/>
      <c r="AR32" s="12"/>
      <c r="AS32" s="12"/>
      <c r="AT32" s="13"/>
      <c r="AU32" s="12"/>
      <c r="AV32" s="12"/>
      <c r="AW32" s="13"/>
      <c r="AX32" s="12"/>
      <c r="AY32" s="12"/>
      <c r="AZ32" s="13"/>
      <c r="BA32" s="12"/>
      <c r="BB32" s="12"/>
      <c r="BC32" s="13"/>
      <c r="BD32" s="12"/>
      <c r="BE32" s="12"/>
      <c r="BF32" s="13"/>
      <c r="BG32" s="12"/>
      <c r="BH32" s="12"/>
      <c r="BI32" s="13"/>
      <c r="BJ32" s="12"/>
      <c r="BK32" s="12"/>
      <c r="BL32" s="13"/>
      <c r="BM32" s="12"/>
      <c r="BN32" s="12"/>
      <c r="BO32" s="13"/>
      <c r="BP32" s="14"/>
      <c r="BQ32" s="14"/>
    </row>
    <row r="33" ht="81.0" customHeight="1">
      <c r="A33" s="32"/>
      <c r="B33" s="16"/>
      <c r="C33" s="16"/>
      <c r="D33" s="21" t="s">
        <v>194</v>
      </c>
      <c r="E33" s="11" t="s">
        <v>35</v>
      </c>
      <c r="F33" s="11" t="s">
        <v>40</v>
      </c>
      <c r="G33" s="11">
        <v>2.0</v>
      </c>
      <c r="H33" s="12"/>
      <c r="I33" s="12"/>
      <c r="J33" s="13"/>
      <c r="K33" s="12"/>
      <c r="L33" s="12"/>
      <c r="M33" s="13"/>
      <c r="N33" s="12"/>
      <c r="O33" s="12"/>
      <c r="P33" s="13"/>
      <c r="Q33" s="12"/>
      <c r="R33" s="12"/>
      <c r="S33" s="13"/>
      <c r="T33" s="12"/>
      <c r="U33" s="12"/>
      <c r="V33" s="13"/>
      <c r="W33" s="12"/>
      <c r="X33" s="12"/>
      <c r="Y33" s="13"/>
      <c r="Z33" s="12"/>
      <c r="AA33" s="12"/>
      <c r="AB33" s="13"/>
      <c r="AC33" s="12"/>
      <c r="AD33" s="12"/>
      <c r="AE33" s="13"/>
      <c r="AF33" s="12"/>
      <c r="AG33" s="12"/>
      <c r="AH33" s="13"/>
      <c r="AI33" s="12"/>
      <c r="AJ33" s="12"/>
      <c r="AK33" s="13"/>
      <c r="AL33" s="12"/>
      <c r="AM33" s="12"/>
      <c r="AN33" s="13"/>
      <c r="AO33" s="12"/>
      <c r="AP33" s="12"/>
      <c r="AQ33" s="13"/>
      <c r="AR33" s="12"/>
      <c r="AS33" s="12"/>
      <c r="AT33" s="13"/>
      <c r="AU33" s="12"/>
      <c r="AV33" s="12"/>
      <c r="AW33" s="13"/>
      <c r="AX33" s="12"/>
      <c r="AY33" s="12"/>
      <c r="AZ33" s="13"/>
      <c r="BA33" s="12"/>
      <c r="BB33" s="12"/>
      <c r="BC33" s="13"/>
      <c r="BD33" s="12"/>
      <c r="BE33" s="12"/>
      <c r="BF33" s="13"/>
      <c r="BG33" s="12"/>
      <c r="BH33" s="12"/>
      <c r="BI33" s="13"/>
      <c r="BJ33" s="12"/>
      <c r="BK33" s="12"/>
      <c r="BL33" s="13"/>
      <c r="BM33" s="12"/>
      <c r="BN33" s="12"/>
      <c r="BO33" s="13"/>
      <c r="BP33" s="14"/>
      <c r="BQ33" s="14"/>
    </row>
    <row r="34" ht="43.5" customHeight="1">
      <c r="A34" s="24"/>
      <c r="B34" s="25" t="s">
        <v>170</v>
      </c>
      <c r="C34" s="26"/>
      <c r="D34" s="26"/>
      <c r="E34" s="26"/>
      <c r="F34" s="27"/>
      <c r="G34" s="28">
        <f>SUM(G6:G33)</f>
        <v>120</v>
      </c>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row>
    <row r="35" ht="15.75" customHeight="1">
      <c r="A35" s="1"/>
      <c r="B35" s="29"/>
      <c r="C35" s="30"/>
      <c r="D35" s="30"/>
      <c r="E35" s="30"/>
      <c r="F35" s="31"/>
      <c r="G35" s="16"/>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37">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H4:I4"/>
    <mergeCell ref="K4:L4"/>
    <mergeCell ref="N4:O4"/>
    <mergeCell ref="Q4:R4"/>
    <mergeCell ref="T4:U4"/>
    <mergeCell ref="W4:X4"/>
    <mergeCell ref="Z4:AA4"/>
    <mergeCell ref="B18:B21"/>
    <mergeCell ref="B22:B25"/>
    <mergeCell ref="B26:B29"/>
    <mergeCell ref="B30:B33"/>
    <mergeCell ref="C22:C25"/>
    <mergeCell ref="C26:C29"/>
    <mergeCell ref="C30:C33"/>
    <mergeCell ref="B34:F35"/>
    <mergeCell ref="G34:G35"/>
    <mergeCell ref="B6:B9"/>
    <mergeCell ref="C6:C9"/>
    <mergeCell ref="B10:B13"/>
    <mergeCell ref="C10:C13"/>
    <mergeCell ref="B14:B17"/>
    <mergeCell ref="C14:C17"/>
    <mergeCell ref="C18:C2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10"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9" t="s">
        <v>43</v>
      </c>
      <c r="C6" s="9" t="s">
        <v>46</v>
      </c>
      <c r="D6" s="11" t="s">
        <v>47</v>
      </c>
      <c r="E6" s="11" t="s">
        <v>35</v>
      </c>
      <c r="F6" s="11" t="s">
        <v>40</v>
      </c>
      <c r="G6" s="11">
        <v>1.0</v>
      </c>
      <c r="H6" s="12"/>
      <c r="I6" s="12">
        <f t="shared" ref="I6:I29" si="1">G6-H6</f>
        <v>1</v>
      </c>
      <c r="J6" s="13"/>
      <c r="K6" s="12"/>
      <c r="L6" s="12">
        <f t="shared" ref="L6:L29" si="2">I6-K6</f>
        <v>1</v>
      </c>
      <c r="M6" s="13"/>
      <c r="N6" s="12"/>
      <c r="O6" s="12">
        <f t="shared" ref="O6:O29" si="3">L6-N6</f>
        <v>1</v>
      </c>
      <c r="P6" s="13"/>
      <c r="Q6" s="12"/>
      <c r="R6" s="12">
        <f t="shared" ref="R6:R29" si="4">O6-Q6</f>
        <v>1</v>
      </c>
      <c r="S6" s="13"/>
      <c r="T6" s="12"/>
      <c r="U6" s="12">
        <f t="shared" ref="U6:U29" si="5">R6-T6</f>
        <v>1</v>
      </c>
      <c r="V6" s="13"/>
      <c r="W6" s="12"/>
      <c r="X6" s="12">
        <f t="shared" ref="X6:X29" si="6">U6-W6</f>
        <v>1</v>
      </c>
      <c r="Y6" s="13"/>
      <c r="Z6" s="12"/>
      <c r="AA6" s="12">
        <f t="shared" ref="AA6:AA29" si="7">X6-Z6</f>
        <v>1</v>
      </c>
      <c r="AB6" s="13"/>
      <c r="AC6" s="12"/>
      <c r="AD6" s="12">
        <f t="shared" ref="AD6:AD29" si="8">AA6-AC6</f>
        <v>1</v>
      </c>
      <c r="AE6" s="13"/>
      <c r="AF6" s="12"/>
      <c r="AG6" s="12">
        <f t="shared" ref="AG6:AG29" si="9">AD6-AF6</f>
        <v>1</v>
      </c>
      <c r="AH6" s="13"/>
      <c r="AI6" s="12"/>
      <c r="AJ6" s="12">
        <f t="shared" ref="AJ6:AJ29" si="10">AG6-AI6</f>
        <v>1</v>
      </c>
      <c r="AK6" s="13"/>
      <c r="AL6" s="12"/>
      <c r="AM6" s="12">
        <f t="shared" ref="AM6:AM29" si="11">AJ6-AL6</f>
        <v>1</v>
      </c>
      <c r="AN6" s="13"/>
      <c r="AO6" s="12"/>
      <c r="AP6" s="12">
        <f t="shared" ref="AP6:AP29" si="12">AM6-AO6</f>
        <v>1</v>
      </c>
      <c r="AQ6" s="13"/>
      <c r="AR6" s="12"/>
      <c r="AS6" s="12">
        <f t="shared" ref="AS6:AS29" si="13">AP6-AR6</f>
        <v>1</v>
      </c>
      <c r="AT6" s="13"/>
      <c r="AU6" s="12"/>
      <c r="AV6" s="12">
        <f t="shared" ref="AV6:AV29" si="14">AS6-AU6</f>
        <v>1</v>
      </c>
      <c r="AW6" s="13"/>
      <c r="AX6" s="12"/>
      <c r="AY6" s="12">
        <f t="shared" ref="AY6:AY29" si="15">AV6-AX6</f>
        <v>1</v>
      </c>
      <c r="AZ6" s="13"/>
      <c r="BA6" s="12"/>
      <c r="BB6" s="12">
        <f t="shared" ref="BB6:BB29" si="16">AY6-BA6</f>
        <v>1</v>
      </c>
      <c r="BC6" s="13"/>
      <c r="BD6" s="12"/>
      <c r="BE6" s="12">
        <f t="shared" ref="BE6:BE29" si="17">BB6-BD6</f>
        <v>1</v>
      </c>
      <c r="BF6" s="13"/>
      <c r="BG6" s="12"/>
      <c r="BH6" s="12">
        <f t="shared" ref="BH6:BH29" si="18">BE6-BG6</f>
        <v>1</v>
      </c>
      <c r="BI6" s="13"/>
      <c r="BJ6" s="12"/>
      <c r="BK6" s="12">
        <f t="shared" ref="BK6:BK29" si="19">BH6-BJ6</f>
        <v>1</v>
      </c>
      <c r="BL6" s="13"/>
      <c r="BM6" s="12"/>
      <c r="BN6" s="12">
        <f t="shared" ref="BN6:BN29" si="20">BK6-BM6</f>
        <v>1</v>
      </c>
      <c r="BO6" s="13"/>
      <c r="BP6" s="14">
        <f t="shared" ref="BP6:BP29" si="21">H6+K6+N6+Q6+T6+W6+Z6+AC6+AF6+AI6+AL6+AO6+AR6+AU6+AX6+BA6+BD6+BG6+BJ6+BM6</f>
        <v>0</v>
      </c>
      <c r="BQ6" s="14">
        <f t="shared" ref="BQ6:BQ29" si="22">G6-BP6</f>
        <v>1</v>
      </c>
    </row>
    <row r="7">
      <c r="A7" s="1"/>
      <c r="B7" s="15"/>
      <c r="C7" s="15"/>
      <c r="D7" s="11" t="s">
        <v>50</v>
      </c>
      <c r="E7" s="11" t="s">
        <v>49</v>
      </c>
      <c r="F7" s="11" t="s">
        <v>40</v>
      </c>
      <c r="G7" s="11">
        <v>2.0</v>
      </c>
      <c r="H7" s="12"/>
      <c r="I7" s="12">
        <f t="shared" si="1"/>
        <v>2</v>
      </c>
      <c r="J7" s="13"/>
      <c r="K7" s="12"/>
      <c r="L7" s="12">
        <f t="shared" si="2"/>
        <v>2</v>
      </c>
      <c r="M7" s="13"/>
      <c r="N7" s="12"/>
      <c r="O7" s="12">
        <f t="shared" si="3"/>
        <v>2</v>
      </c>
      <c r="P7" s="13"/>
      <c r="Q7" s="12"/>
      <c r="R7" s="12">
        <f t="shared" si="4"/>
        <v>2</v>
      </c>
      <c r="S7" s="13"/>
      <c r="T7" s="12"/>
      <c r="U7" s="12">
        <f t="shared" si="5"/>
        <v>2</v>
      </c>
      <c r="V7" s="13"/>
      <c r="W7" s="12"/>
      <c r="X7" s="12">
        <f t="shared" si="6"/>
        <v>2</v>
      </c>
      <c r="Y7" s="13"/>
      <c r="Z7" s="12"/>
      <c r="AA7" s="12">
        <f t="shared" si="7"/>
        <v>2</v>
      </c>
      <c r="AB7" s="13"/>
      <c r="AC7" s="12"/>
      <c r="AD7" s="12">
        <f t="shared" si="8"/>
        <v>2</v>
      </c>
      <c r="AE7" s="13"/>
      <c r="AF7" s="12"/>
      <c r="AG7" s="12">
        <f t="shared" si="9"/>
        <v>2</v>
      </c>
      <c r="AH7" s="13"/>
      <c r="AI7" s="12"/>
      <c r="AJ7" s="12">
        <f t="shared" si="10"/>
        <v>2</v>
      </c>
      <c r="AK7" s="13"/>
      <c r="AL7" s="12"/>
      <c r="AM7" s="12">
        <f t="shared" si="11"/>
        <v>2</v>
      </c>
      <c r="AN7" s="13"/>
      <c r="AO7" s="12"/>
      <c r="AP7" s="12">
        <f t="shared" si="12"/>
        <v>2</v>
      </c>
      <c r="AQ7" s="13"/>
      <c r="AR7" s="12"/>
      <c r="AS7" s="12">
        <f t="shared" si="13"/>
        <v>2</v>
      </c>
      <c r="AT7" s="13"/>
      <c r="AU7" s="12"/>
      <c r="AV7" s="12">
        <f t="shared" si="14"/>
        <v>2</v>
      </c>
      <c r="AW7" s="13"/>
      <c r="AX7" s="12"/>
      <c r="AY7" s="12">
        <f t="shared" si="15"/>
        <v>2</v>
      </c>
      <c r="AZ7" s="13"/>
      <c r="BA7" s="12"/>
      <c r="BB7" s="12">
        <f t="shared" si="16"/>
        <v>2</v>
      </c>
      <c r="BC7" s="13"/>
      <c r="BD7" s="12"/>
      <c r="BE7" s="12">
        <f t="shared" si="17"/>
        <v>2</v>
      </c>
      <c r="BF7" s="13"/>
      <c r="BG7" s="12"/>
      <c r="BH7" s="12">
        <f t="shared" si="18"/>
        <v>2</v>
      </c>
      <c r="BI7" s="13"/>
      <c r="BJ7" s="12"/>
      <c r="BK7" s="12">
        <f t="shared" si="19"/>
        <v>2</v>
      </c>
      <c r="BL7" s="13"/>
      <c r="BM7" s="12"/>
      <c r="BN7" s="12">
        <f t="shared" si="20"/>
        <v>2</v>
      </c>
      <c r="BO7" s="13"/>
      <c r="BP7" s="14">
        <f t="shared" si="21"/>
        <v>0</v>
      </c>
      <c r="BQ7" s="14">
        <f t="shared" si="22"/>
        <v>2</v>
      </c>
    </row>
    <row r="8">
      <c r="A8" s="1"/>
      <c r="B8" s="15"/>
      <c r="C8" s="15"/>
      <c r="D8" s="11" t="s">
        <v>53</v>
      </c>
      <c r="E8" s="11" t="s">
        <v>54</v>
      </c>
      <c r="F8" s="11" t="s">
        <v>40</v>
      </c>
      <c r="G8" s="11">
        <v>8.0</v>
      </c>
      <c r="H8" s="12"/>
      <c r="I8" s="12">
        <f t="shared" si="1"/>
        <v>8</v>
      </c>
      <c r="J8" s="13"/>
      <c r="K8" s="12"/>
      <c r="L8" s="12">
        <f t="shared" si="2"/>
        <v>8</v>
      </c>
      <c r="M8" s="13"/>
      <c r="N8" s="12"/>
      <c r="O8" s="12">
        <f t="shared" si="3"/>
        <v>8</v>
      </c>
      <c r="P8" s="13"/>
      <c r="Q8" s="12"/>
      <c r="R8" s="12">
        <f t="shared" si="4"/>
        <v>8</v>
      </c>
      <c r="S8" s="13"/>
      <c r="T8" s="12"/>
      <c r="U8" s="12">
        <f t="shared" si="5"/>
        <v>8</v>
      </c>
      <c r="V8" s="13"/>
      <c r="W8" s="12"/>
      <c r="X8" s="12">
        <f t="shared" si="6"/>
        <v>8</v>
      </c>
      <c r="Y8" s="13"/>
      <c r="Z8" s="12"/>
      <c r="AA8" s="12">
        <f t="shared" si="7"/>
        <v>8</v>
      </c>
      <c r="AB8" s="13"/>
      <c r="AC8" s="12"/>
      <c r="AD8" s="12">
        <f t="shared" si="8"/>
        <v>8</v>
      </c>
      <c r="AE8" s="13"/>
      <c r="AF8" s="12"/>
      <c r="AG8" s="12">
        <f t="shared" si="9"/>
        <v>8</v>
      </c>
      <c r="AH8" s="13"/>
      <c r="AI8" s="12"/>
      <c r="AJ8" s="12">
        <f t="shared" si="10"/>
        <v>8</v>
      </c>
      <c r="AK8" s="13"/>
      <c r="AL8" s="12"/>
      <c r="AM8" s="12">
        <f t="shared" si="11"/>
        <v>8</v>
      </c>
      <c r="AN8" s="13"/>
      <c r="AO8" s="12"/>
      <c r="AP8" s="12">
        <f t="shared" si="12"/>
        <v>8</v>
      </c>
      <c r="AQ8" s="13"/>
      <c r="AR8" s="12"/>
      <c r="AS8" s="12">
        <f t="shared" si="13"/>
        <v>8</v>
      </c>
      <c r="AT8" s="13"/>
      <c r="AU8" s="12"/>
      <c r="AV8" s="12">
        <f t="shared" si="14"/>
        <v>8</v>
      </c>
      <c r="AW8" s="13"/>
      <c r="AX8" s="12"/>
      <c r="AY8" s="12">
        <f t="shared" si="15"/>
        <v>8</v>
      </c>
      <c r="AZ8" s="13"/>
      <c r="BA8" s="12"/>
      <c r="BB8" s="12">
        <f t="shared" si="16"/>
        <v>8</v>
      </c>
      <c r="BC8" s="13"/>
      <c r="BD8" s="12"/>
      <c r="BE8" s="12">
        <f t="shared" si="17"/>
        <v>8</v>
      </c>
      <c r="BF8" s="13"/>
      <c r="BG8" s="12"/>
      <c r="BH8" s="12">
        <f t="shared" si="18"/>
        <v>8</v>
      </c>
      <c r="BI8" s="13"/>
      <c r="BJ8" s="12"/>
      <c r="BK8" s="12">
        <f t="shared" si="19"/>
        <v>8</v>
      </c>
      <c r="BL8" s="13"/>
      <c r="BM8" s="12"/>
      <c r="BN8" s="12">
        <f t="shared" si="20"/>
        <v>8</v>
      </c>
      <c r="BO8" s="13"/>
      <c r="BP8" s="14">
        <f t="shared" si="21"/>
        <v>0</v>
      </c>
      <c r="BQ8" s="14">
        <f t="shared" si="22"/>
        <v>8</v>
      </c>
    </row>
    <row r="9">
      <c r="A9" s="1"/>
      <c r="B9" s="16"/>
      <c r="C9" s="16"/>
      <c r="D9" s="11" t="s">
        <v>58</v>
      </c>
      <c r="E9" s="11" t="s">
        <v>35</v>
      </c>
      <c r="F9" s="11" t="s">
        <v>40</v>
      </c>
      <c r="G9" s="11">
        <v>1.0</v>
      </c>
      <c r="H9" s="12"/>
      <c r="I9" s="12">
        <f t="shared" si="1"/>
        <v>1</v>
      </c>
      <c r="J9" s="13"/>
      <c r="K9" s="12"/>
      <c r="L9" s="12">
        <f t="shared" si="2"/>
        <v>1</v>
      </c>
      <c r="M9" s="13"/>
      <c r="N9" s="12"/>
      <c r="O9" s="12">
        <f t="shared" si="3"/>
        <v>1</v>
      </c>
      <c r="P9" s="13"/>
      <c r="Q9" s="12"/>
      <c r="R9" s="12">
        <f t="shared" si="4"/>
        <v>1</v>
      </c>
      <c r="S9" s="13"/>
      <c r="T9" s="12"/>
      <c r="U9" s="12">
        <f t="shared" si="5"/>
        <v>1</v>
      </c>
      <c r="V9" s="13"/>
      <c r="W9" s="12"/>
      <c r="X9" s="12">
        <f t="shared" si="6"/>
        <v>1</v>
      </c>
      <c r="Y9" s="13"/>
      <c r="Z9" s="12"/>
      <c r="AA9" s="12">
        <f t="shared" si="7"/>
        <v>1</v>
      </c>
      <c r="AB9" s="13"/>
      <c r="AC9" s="12"/>
      <c r="AD9" s="12">
        <f t="shared" si="8"/>
        <v>1</v>
      </c>
      <c r="AE9" s="13"/>
      <c r="AF9" s="12"/>
      <c r="AG9" s="12">
        <f t="shared" si="9"/>
        <v>1</v>
      </c>
      <c r="AH9" s="13"/>
      <c r="AI9" s="12"/>
      <c r="AJ9" s="12">
        <f t="shared" si="10"/>
        <v>1</v>
      </c>
      <c r="AK9" s="13"/>
      <c r="AL9" s="12"/>
      <c r="AM9" s="12">
        <f t="shared" si="11"/>
        <v>1</v>
      </c>
      <c r="AN9" s="13"/>
      <c r="AO9" s="12"/>
      <c r="AP9" s="12">
        <f t="shared" si="12"/>
        <v>1</v>
      </c>
      <c r="AQ9" s="13"/>
      <c r="AR9" s="12"/>
      <c r="AS9" s="12">
        <f t="shared" si="13"/>
        <v>1</v>
      </c>
      <c r="AT9" s="13"/>
      <c r="AU9" s="12"/>
      <c r="AV9" s="12">
        <f t="shared" si="14"/>
        <v>1</v>
      </c>
      <c r="AW9" s="13"/>
      <c r="AX9" s="12"/>
      <c r="AY9" s="12">
        <f t="shared" si="15"/>
        <v>1</v>
      </c>
      <c r="AZ9" s="13"/>
      <c r="BA9" s="12"/>
      <c r="BB9" s="12">
        <f t="shared" si="16"/>
        <v>1</v>
      </c>
      <c r="BC9" s="13"/>
      <c r="BD9" s="12"/>
      <c r="BE9" s="12">
        <f t="shared" si="17"/>
        <v>1</v>
      </c>
      <c r="BF9" s="13"/>
      <c r="BG9" s="12"/>
      <c r="BH9" s="12">
        <f t="shared" si="18"/>
        <v>1</v>
      </c>
      <c r="BI9" s="13"/>
      <c r="BJ9" s="12"/>
      <c r="BK9" s="12">
        <f t="shared" si="19"/>
        <v>1</v>
      </c>
      <c r="BL9" s="13"/>
      <c r="BM9" s="12"/>
      <c r="BN9" s="12">
        <f t="shared" si="20"/>
        <v>1</v>
      </c>
      <c r="BO9" s="13"/>
      <c r="BP9" s="14">
        <f t="shared" si="21"/>
        <v>0</v>
      </c>
      <c r="BQ9" s="14">
        <f t="shared" si="22"/>
        <v>1</v>
      </c>
    </row>
    <row r="10">
      <c r="A10" s="17"/>
      <c r="B10" s="9" t="s">
        <v>64</v>
      </c>
      <c r="C10" s="9" t="s">
        <v>66</v>
      </c>
      <c r="D10" s="11" t="s">
        <v>68</v>
      </c>
      <c r="E10" s="11" t="s">
        <v>35</v>
      </c>
      <c r="F10" s="11" t="s">
        <v>40</v>
      </c>
      <c r="G10" s="11">
        <v>1.0</v>
      </c>
      <c r="H10" s="12"/>
      <c r="I10" s="12">
        <f t="shared" si="1"/>
        <v>1</v>
      </c>
      <c r="J10" s="13"/>
      <c r="K10" s="12"/>
      <c r="L10" s="12">
        <f t="shared" si="2"/>
        <v>1</v>
      </c>
      <c r="M10" s="13"/>
      <c r="N10" s="12"/>
      <c r="O10" s="12">
        <f t="shared" si="3"/>
        <v>1</v>
      </c>
      <c r="P10" s="13"/>
      <c r="Q10" s="12"/>
      <c r="R10" s="12">
        <f t="shared" si="4"/>
        <v>1</v>
      </c>
      <c r="S10" s="13"/>
      <c r="T10" s="12"/>
      <c r="U10" s="12">
        <f t="shared" si="5"/>
        <v>1</v>
      </c>
      <c r="V10" s="13"/>
      <c r="W10" s="12"/>
      <c r="X10" s="12">
        <f t="shared" si="6"/>
        <v>1</v>
      </c>
      <c r="Y10" s="13"/>
      <c r="Z10" s="12"/>
      <c r="AA10" s="12">
        <f t="shared" si="7"/>
        <v>1</v>
      </c>
      <c r="AB10" s="13"/>
      <c r="AC10" s="12"/>
      <c r="AD10" s="12">
        <f t="shared" si="8"/>
        <v>1</v>
      </c>
      <c r="AE10" s="13"/>
      <c r="AF10" s="12"/>
      <c r="AG10" s="12">
        <f t="shared" si="9"/>
        <v>1</v>
      </c>
      <c r="AH10" s="13"/>
      <c r="AI10" s="12"/>
      <c r="AJ10" s="12">
        <f t="shared" si="10"/>
        <v>1</v>
      </c>
      <c r="AK10" s="13"/>
      <c r="AL10" s="12"/>
      <c r="AM10" s="12">
        <f t="shared" si="11"/>
        <v>1</v>
      </c>
      <c r="AN10" s="13"/>
      <c r="AO10" s="12"/>
      <c r="AP10" s="12">
        <f t="shared" si="12"/>
        <v>1</v>
      </c>
      <c r="AQ10" s="13"/>
      <c r="AR10" s="12"/>
      <c r="AS10" s="12">
        <f t="shared" si="13"/>
        <v>1</v>
      </c>
      <c r="AT10" s="13"/>
      <c r="AU10" s="12"/>
      <c r="AV10" s="12">
        <f t="shared" si="14"/>
        <v>1</v>
      </c>
      <c r="AW10" s="13"/>
      <c r="AX10" s="12"/>
      <c r="AY10" s="12">
        <f t="shared" si="15"/>
        <v>1</v>
      </c>
      <c r="AZ10" s="13"/>
      <c r="BA10" s="12"/>
      <c r="BB10" s="12">
        <f t="shared" si="16"/>
        <v>1</v>
      </c>
      <c r="BC10" s="13"/>
      <c r="BD10" s="12"/>
      <c r="BE10" s="12">
        <f t="shared" si="17"/>
        <v>1</v>
      </c>
      <c r="BF10" s="13"/>
      <c r="BG10" s="12"/>
      <c r="BH10" s="12">
        <f t="shared" si="18"/>
        <v>1</v>
      </c>
      <c r="BI10" s="13"/>
      <c r="BJ10" s="12"/>
      <c r="BK10" s="12">
        <f t="shared" si="19"/>
        <v>1</v>
      </c>
      <c r="BL10" s="13"/>
      <c r="BM10" s="12"/>
      <c r="BN10" s="12">
        <f t="shared" si="20"/>
        <v>1</v>
      </c>
      <c r="BO10" s="13"/>
      <c r="BP10" s="14">
        <f t="shared" si="21"/>
        <v>0</v>
      </c>
      <c r="BQ10" s="14">
        <f t="shared" si="22"/>
        <v>1</v>
      </c>
    </row>
    <row r="11">
      <c r="A11" s="17"/>
      <c r="B11" s="15"/>
      <c r="C11" s="15"/>
      <c r="D11" s="11" t="s">
        <v>75</v>
      </c>
      <c r="E11" s="11" t="s">
        <v>49</v>
      </c>
      <c r="F11" s="11" t="s">
        <v>40</v>
      </c>
      <c r="G11" s="11">
        <v>3.0</v>
      </c>
      <c r="H11" s="12"/>
      <c r="I11" s="12">
        <f t="shared" si="1"/>
        <v>3</v>
      </c>
      <c r="J11" s="13"/>
      <c r="K11" s="12"/>
      <c r="L11" s="12">
        <f t="shared" si="2"/>
        <v>3</v>
      </c>
      <c r="M11" s="13"/>
      <c r="N11" s="12"/>
      <c r="O11" s="12">
        <f t="shared" si="3"/>
        <v>3</v>
      </c>
      <c r="P11" s="13"/>
      <c r="Q11" s="12"/>
      <c r="R11" s="12">
        <f t="shared" si="4"/>
        <v>3</v>
      </c>
      <c r="S11" s="13"/>
      <c r="T11" s="12"/>
      <c r="U11" s="12">
        <f t="shared" si="5"/>
        <v>3</v>
      </c>
      <c r="V11" s="13"/>
      <c r="W11" s="12"/>
      <c r="X11" s="12">
        <f t="shared" si="6"/>
        <v>3</v>
      </c>
      <c r="Y11" s="13"/>
      <c r="Z11" s="12"/>
      <c r="AA11" s="12">
        <f t="shared" si="7"/>
        <v>3</v>
      </c>
      <c r="AB11" s="13"/>
      <c r="AC11" s="12"/>
      <c r="AD11" s="12">
        <f t="shared" si="8"/>
        <v>3</v>
      </c>
      <c r="AE11" s="13"/>
      <c r="AF11" s="12"/>
      <c r="AG11" s="12">
        <f t="shared" si="9"/>
        <v>3</v>
      </c>
      <c r="AH11" s="13"/>
      <c r="AI11" s="12"/>
      <c r="AJ11" s="12">
        <f t="shared" si="10"/>
        <v>3</v>
      </c>
      <c r="AK11" s="13"/>
      <c r="AL11" s="12"/>
      <c r="AM11" s="12">
        <f t="shared" si="11"/>
        <v>3</v>
      </c>
      <c r="AN11" s="13"/>
      <c r="AO11" s="12"/>
      <c r="AP11" s="12">
        <f t="shared" si="12"/>
        <v>3</v>
      </c>
      <c r="AQ11" s="13"/>
      <c r="AR11" s="12"/>
      <c r="AS11" s="12">
        <f t="shared" si="13"/>
        <v>3</v>
      </c>
      <c r="AT11" s="13"/>
      <c r="AU11" s="12"/>
      <c r="AV11" s="12">
        <f t="shared" si="14"/>
        <v>3</v>
      </c>
      <c r="AW11" s="13"/>
      <c r="AX11" s="12"/>
      <c r="AY11" s="12">
        <f t="shared" si="15"/>
        <v>3</v>
      </c>
      <c r="AZ11" s="13"/>
      <c r="BA11" s="12"/>
      <c r="BB11" s="12">
        <f t="shared" si="16"/>
        <v>3</v>
      </c>
      <c r="BC11" s="13"/>
      <c r="BD11" s="12"/>
      <c r="BE11" s="12">
        <f t="shared" si="17"/>
        <v>3</v>
      </c>
      <c r="BF11" s="13"/>
      <c r="BG11" s="12"/>
      <c r="BH11" s="12">
        <f t="shared" si="18"/>
        <v>3</v>
      </c>
      <c r="BI11" s="13"/>
      <c r="BJ11" s="12"/>
      <c r="BK11" s="12">
        <f t="shared" si="19"/>
        <v>3</v>
      </c>
      <c r="BL11" s="13"/>
      <c r="BM11" s="12"/>
      <c r="BN11" s="12">
        <f t="shared" si="20"/>
        <v>3</v>
      </c>
      <c r="BO11" s="13"/>
      <c r="BP11" s="14">
        <f t="shared" si="21"/>
        <v>0</v>
      </c>
      <c r="BQ11" s="14">
        <f t="shared" si="22"/>
        <v>3</v>
      </c>
    </row>
    <row r="12">
      <c r="A12" s="17"/>
      <c r="B12" s="15"/>
      <c r="C12" s="15"/>
      <c r="D12" s="11" t="s">
        <v>79</v>
      </c>
      <c r="E12" s="11" t="s">
        <v>54</v>
      </c>
      <c r="F12" s="11" t="s">
        <v>40</v>
      </c>
      <c r="G12" s="11">
        <v>8.0</v>
      </c>
      <c r="H12" s="12"/>
      <c r="I12" s="12">
        <f t="shared" si="1"/>
        <v>8</v>
      </c>
      <c r="J12" s="13"/>
      <c r="K12" s="12"/>
      <c r="L12" s="12">
        <f t="shared" si="2"/>
        <v>8</v>
      </c>
      <c r="M12" s="13"/>
      <c r="N12" s="12"/>
      <c r="O12" s="12">
        <f t="shared" si="3"/>
        <v>8</v>
      </c>
      <c r="P12" s="13"/>
      <c r="Q12" s="12"/>
      <c r="R12" s="12">
        <f t="shared" si="4"/>
        <v>8</v>
      </c>
      <c r="S12" s="13"/>
      <c r="T12" s="12"/>
      <c r="U12" s="12">
        <f t="shared" si="5"/>
        <v>8</v>
      </c>
      <c r="V12" s="13"/>
      <c r="W12" s="12"/>
      <c r="X12" s="12">
        <f t="shared" si="6"/>
        <v>8</v>
      </c>
      <c r="Y12" s="13"/>
      <c r="Z12" s="12"/>
      <c r="AA12" s="12">
        <f t="shared" si="7"/>
        <v>8</v>
      </c>
      <c r="AB12" s="13"/>
      <c r="AC12" s="12"/>
      <c r="AD12" s="12">
        <f t="shared" si="8"/>
        <v>8</v>
      </c>
      <c r="AE12" s="13"/>
      <c r="AF12" s="12"/>
      <c r="AG12" s="12">
        <f t="shared" si="9"/>
        <v>8</v>
      </c>
      <c r="AH12" s="13"/>
      <c r="AI12" s="12"/>
      <c r="AJ12" s="12">
        <f t="shared" si="10"/>
        <v>8</v>
      </c>
      <c r="AK12" s="13"/>
      <c r="AL12" s="12"/>
      <c r="AM12" s="12">
        <f t="shared" si="11"/>
        <v>8</v>
      </c>
      <c r="AN12" s="13"/>
      <c r="AO12" s="12"/>
      <c r="AP12" s="12">
        <f t="shared" si="12"/>
        <v>8</v>
      </c>
      <c r="AQ12" s="13"/>
      <c r="AR12" s="12"/>
      <c r="AS12" s="12">
        <f t="shared" si="13"/>
        <v>8</v>
      </c>
      <c r="AT12" s="13"/>
      <c r="AU12" s="12"/>
      <c r="AV12" s="12">
        <f t="shared" si="14"/>
        <v>8</v>
      </c>
      <c r="AW12" s="13"/>
      <c r="AX12" s="12"/>
      <c r="AY12" s="12">
        <f t="shared" si="15"/>
        <v>8</v>
      </c>
      <c r="AZ12" s="13"/>
      <c r="BA12" s="12"/>
      <c r="BB12" s="12">
        <f t="shared" si="16"/>
        <v>8</v>
      </c>
      <c r="BC12" s="13"/>
      <c r="BD12" s="12"/>
      <c r="BE12" s="12">
        <f t="shared" si="17"/>
        <v>8</v>
      </c>
      <c r="BF12" s="13"/>
      <c r="BG12" s="12"/>
      <c r="BH12" s="12">
        <f t="shared" si="18"/>
        <v>8</v>
      </c>
      <c r="BI12" s="13"/>
      <c r="BJ12" s="12"/>
      <c r="BK12" s="12">
        <f t="shared" si="19"/>
        <v>8</v>
      </c>
      <c r="BL12" s="13"/>
      <c r="BM12" s="12"/>
      <c r="BN12" s="12">
        <f t="shared" si="20"/>
        <v>8</v>
      </c>
      <c r="BO12" s="13"/>
      <c r="BP12" s="14">
        <f t="shared" si="21"/>
        <v>0</v>
      </c>
      <c r="BQ12" s="14">
        <f t="shared" si="22"/>
        <v>8</v>
      </c>
    </row>
    <row r="13">
      <c r="A13" s="17"/>
      <c r="B13" s="16"/>
      <c r="C13" s="16"/>
      <c r="D13" s="11" t="s">
        <v>83</v>
      </c>
      <c r="E13" s="11" t="s">
        <v>35</v>
      </c>
      <c r="F13" s="11" t="s">
        <v>40</v>
      </c>
      <c r="G13" s="11">
        <v>3.0</v>
      </c>
      <c r="H13" s="12"/>
      <c r="I13" s="12">
        <f t="shared" si="1"/>
        <v>3</v>
      </c>
      <c r="J13" s="13"/>
      <c r="K13" s="12"/>
      <c r="L13" s="12">
        <f t="shared" si="2"/>
        <v>3</v>
      </c>
      <c r="M13" s="13"/>
      <c r="N13" s="12"/>
      <c r="O13" s="12">
        <f t="shared" si="3"/>
        <v>3</v>
      </c>
      <c r="P13" s="13"/>
      <c r="Q13" s="12"/>
      <c r="R13" s="12">
        <f t="shared" si="4"/>
        <v>3</v>
      </c>
      <c r="S13" s="13"/>
      <c r="T13" s="12"/>
      <c r="U13" s="12">
        <f t="shared" si="5"/>
        <v>3</v>
      </c>
      <c r="V13" s="13"/>
      <c r="W13" s="12"/>
      <c r="X13" s="12">
        <f t="shared" si="6"/>
        <v>3</v>
      </c>
      <c r="Y13" s="13"/>
      <c r="Z13" s="12"/>
      <c r="AA13" s="12">
        <f t="shared" si="7"/>
        <v>3</v>
      </c>
      <c r="AB13" s="13"/>
      <c r="AC13" s="12"/>
      <c r="AD13" s="12">
        <f t="shared" si="8"/>
        <v>3</v>
      </c>
      <c r="AE13" s="13"/>
      <c r="AF13" s="12"/>
      <c r="AG13" s="12">
        <f t="shared" si="9"/>
        <v>3</v>
      </c>
      <c r="AH13" s="13"/>
      <c r="AI13" s="12"/>
      <c r="AJ13" s="12">
        <f t="shared" si="10"/>
        <v>3</v>
      </c>
      <c r="AK13" s="13"/>
      <c r="AL13" s="12"/>
      <c r="AM13" s="12">
        <f t="shared" si="11"/>
        <v>3</v>
      </c>
      <c r="AN13" s="13"/>
      <c r="AO13" s="12"/>
      <c r="AP13" s="12">
        <f t="shared" si="12"/>
        <v>3</v>
      </c>
      <c r="AQ13" s="13"/>
      <c r="AR13" s="12"/>
      <c r="AS13" s="12">
        <f t="shared" si="13"/>
        <v>3</v>
      </c>
      <c r="AT13" s="13"/>
      <c r="AU13" s="12"/>
      <c r="AV13" s="12">
        <f t="shared" si="14"/>
        <v>3</v>
      </c>
      <c r="AW13" s="13"/>
      <c r="AX13" s="12"/>
      <c r="AY13" s="12">
        <f t="shared" si="15"/>
        <v>3</v>
      </c>
      <c r="AZ13" s="13"/>
      <c r="BA13" s="12"/>
      <c r="BB13" s="12">
        <f t="shared" si="16"/>
        <v>3</v>
      </c>
      <c r="BC13" s="13"/>
      <c r="BD13" s="12"/>
      <c r="BE13" s="12">
        <f t="shared" si="17"/>
        <v>3</v>
      </c>
      <c r="BF13" s="13"/>
      <c r="BG13" s="12"/>
      <c r="BH13" s="12">
        <f t="shared" si="18"/>
        <v>3</v>
      </c>
      <c r="BI13" s="13"/>
      <c r="BJ13" s="12"/>
      <c r="BK13" s="12">
        <f t="shared" si="19"/>
        <v>3</v>
      </c>
      <c r="BL13" s="13"/>
      <c r="BM13" s="12"/>
      <c r="BN13" s="12">
        <f t="shared" si="20"/>
        <v>3</v>
      </c>
      <c r="BO13" s="13"/>
      <c r="BP13" s="14">
        <f t="shared" si="21"/>
        <v>0</v>
      </c>
      <c r="BQ13" s="14">
        <f t="shared" si="22"/>
        <v>3</v>
      </c>
    </row>
    <row r="14">
      <c r="A14" s="17"/>
      <c r="B14" s="9" t="s">
        <v>89</v>
      </c>
      <c r="C14" s="9" t="s">
        <v>90</v>
      </c>
      <c r="D14" s="20" t="s">
        <v>91</v>
      </c>
      <c r="E14" s="11" t="s">
        <v>35</v>
      </c>
      <c r="F14" s="11" t="s">
        <v>40</v>
      </c>
      <c r="G14" s="11">
        <v>1.0</v>
      </c>
      <c r="H14" s="12"/>
      <c r="I14" s="12">
        <f t="shared" si="1"/>
        <v>1</v>
      </c>
      <c r="J14" s="13"/>
      <c r="K14" s="12"/>
      <c r="L14" s="12">
        <f t="shared" si="2"/>
        <v>1</v>
      </c>
      <c r="M14" s="13"/>
      <c r="N14" s="12"/>
      <c r="O14" s="12">
        <f t="shared" si="3"/>
        <v>1</v>
      </c>
      <c r="P14" s="13"/>
      <c r="Q14" s="12"/>
      <c r="R14" s="12">
        <f t="shared" si="4"/>
        <v>1</v>
      </c>
      <c r="S14" s="13"/>
      <c r="T14" s="12"/>
      <c r="U14" s="12">
        <f t="shared" si="5"/>
        <v>1</v>
      </c>
      <c r="V14" s="13"/>
      <c r="W14" s="12"/>
      <c r="X14" s="12">
        <f t="shared" si="6"/>
        <v>1</v>
      </c>
      <c r="Y14" s="13"/>
      <c r="Z14" s="12"/>
      <c r="AA14" s="12">
        <f t="shared" si="7"/>
        <v>1</v>
      </c>
      <c r="AB14" s="13"/>
      <c r="AC14" s="12"/>
      <c r="AD14" s="12">
        <f t="shared" si="8"/>
        <v>1</v>
      </c>
      <c r="AE14" s="13"/>
      <c r="AF14" s="12"/>
      <c r="AG14" s="12">
        <f t="shared" si="9"/>
        <v>1</v>
      </c>
      <c r="AH14" s="13"/>
      <c r="AI14" s="12"/>
      <c r="AJ14" s="12">
        <f t="shared" si="10"/>
        <v>1</v>
      </c>
      <c r="AK14" s="13"/>
      <c r="AL14" s="12"/>
      <c r="AM14" s="12">
        <f t="shared" si="11"/>
        <v>1</v>
      </c>
      <c r="AN14" s="13"/>
      <c r="AO14" s="12"/>
      <c r="AP14" s="12">
        <f t="shared" si="12"/>
        <v>1</v>
      </c>
      <c r="AQ14" s="13"/>
      <c r="AR14" s="12"/>
      <c r="AS14" s="12">
        <f t="shared" si="13"/>
        <v>1</v>
      </c>
      <c r="AT14" s="13"/>
      <c r="AU14" s="12"/>
      <c r="AV14" s="12">
        <f t="shared" si="14"/>
        <v>1</v>
      </c>
      <c r="AW14" s="13"/>
      <c r="AX14" s="12"/>
      <c r="AY14" s="12">
        <f t="shared" si="15"/>
        <v>1</v>
      </c>
      <c r="AZ14" s="13"/>
      <c r="BA14" s="12"/>
      <c r="BB14" s="12">
        <f t="shared" si="16"/>
        <v>1</v>
      </c>
      <c r="BC14" s="13"/>
      <c r="BD14" s="12"/>
      <c r="BE14" s="12">
        <f t="shared" si="17"/>
        <v>1</v>
      </c>
      <c r="BF14" s="13"/>
      <c r="BG14" s="12"/>
      <c r="BH14" s="12">
        <f t="shared" si="18"/>
        <v>1</v>
      </c>
      <c r="BI14" s="13"/>
      <c r="BJ14" s="12"/>
      <c r="BK14" s="12">
        <f t="shared" si="19"/>
        <v>1</v>
      </c>
      <c r="BL14" s="13"/>
      <c r="BM14" s="12"/>
      <c r="BN14" s="12">
        <f t="shared" si="20"/>
        <v>1</v>
      </c>
      <c r="BO14" s="13"/>
      <c r="BP14" s="14">
        <f t="shared" si="21"/>
        <v>0</v>
      </c>
      <c r="BQ14" s="14">
        <f t="shared" si="22"/>
        <v>1</v>
      </c>
    </row>
    <row r="15">
      <c r="A15" s="17"/>
      <c r="B15" s="15"/>
      <c r="C15" s="15"/>
      <c r="D15" s="21" t="s">
        <v>99</v>
      </c>
      <c r="E15" s="11" t="s">
        <v>54</v>
      </c>
      <c r="F15" s="11" t="s">
        <v>40</v>
      </c>
      <c r="G15" s="11">
        <v>2.0</v>
      </c>
      <c r="H15" s="12"/>
      <c r="I15" s="12">
        <f t="shared" si="1"/>
        <v>2</v>
      </c>
      <c r="J15" s="13"/>
      <c r="K15" s="12"/>
      <c r="L15" s="12">
        <f t="shared" si="2"/>
        <v>2</v>
      </c>
      <c r="M15" s="13"/>
      <c r="N15" s="12"/>
      <c r="O15" s="12">
        <f t="shared" si="3"/>
        <v>2</v>
      </c>
      <c r="P15" s="13"/>
      <c r="Q15" s="12"/>
      <c r="R15" s="12">
        <f t="shared" si="4"/>
        <v>2</v>
      </c>
      <c r="S15" s="13"/>
      <c r="T15" s="12"/>
      <c r="U15" s="12">
        <f t="shared" si="5"/>
        <v>2</v>
      </c>
      <c r="V15" s="13"/>
      <c r="W15" s="12"/>
      <c r="X15" s="12">
        <f t="shared" si="6"/>
        <v>2</v>
      </c>
      <c r="Y15" s="13"/>
      <c r="Z15" s="12"/>
      <c r="AA15" s="12">
        <f t="shared" si="7"/>
        <v>2</v>
      </c>
      <c r="AB15" s="13"/>
      <c r="AC15" s="12"/>
      <c r="AD15" s="12">
        <f t="shared" si="8"/>
        <v>2</v>
      </c>
      <c r="AE15" s="13"/>
      <c r="AF15" s="12"/>
      <c r="AG15" s="12">
        <f t="shared" si="9"/>
        <v>2</v>
      </c>
      <c r="AH15" s="13"/>
      <c r="AI15" s="12"/>
      <c r="AJ15" s="12">
        <f t="shared" si="10"/>
        <v>2</v>
      </c>
      <c r="AK15" s="13"/>
      <c r="AL15" s="12"/>
      <c r="AM15" s="12">
        <f t="shared" si="11"/>
        <v>2</v>
      </c>
      <c r="AN15" s="13"/>
      <c r="AO15" s="12"/>
      <c r="AP15" s="12">
        <f t="shared" si="12"/>
        <v>2</v>
      </c>
      <c r="AQ15" s="13"/>
      <c r="AR15" s="12"/>
      <c r="AS15" s="12">
        <f t="shared" si="13"/>
        <v>2</v>
      </c>
      <c r="AT15" s="13"/>
      <c r="AU15" s="12"/>
      <c r="AV15" s="12">
        <f t="shared" si="14"/>
        <v>2</v>
      </c>
      <c r="AW15" s="13"/>
      <c r="AX15" s="12"/>
      <c r="AY15" s="12">
        <f t="shared" si="15"/>
        <v>2</v>
      </c>
      <c r="AZ15" s="13"/>
      <c r="BA15" s="12"/>
      <c r="BB15" s="12">
        <f t="shared" si="16"/>
        <v>2</v>
      </c>
      <c r="BC15" s="13"/>
      <c r="BD15" s="12"/>
      <c r="BE15" s="12">
        <f t="shared" si="17"/>
        <v>2</v>
      </c>
      <c r="BF15" s="13"/>
      <c r="BG15" s="12"/>
      <c r="BH15" s="12">
        <f t="shared" si="18"/>
        <v>2</v>
      </c>
      <c r="BI15" s="13"/>
      <c r="BJ15" s="12"/>
      <c r="BK15" s="12">
        <f t="shared" si="19"/>
        <v>2</v>
      </c>
      <c r="BL15" s="13"/>
      <c r="BM15" s="12"/>
      <c r="BN15" s="12">
        <f t="shared" si="20"/>
        <v>2</v>
      </c>
      <c r="BO15" s="13"/>
      <c r="BP15" s="14">
        <f t="shared" si="21"/>
        <v>0</v>
      </c>
      <c r="BQ15" s="14">
        <f t="shared" si="22"/>
        <v>2</v>
      </c>
    </row>
    <row r="16">
      <c r="A16" s="17"/>
      <c r="B16" s="15"/>
      <c r="C16" s="15"/>
      <c r="D16" s="21" t="s">
        <v>104</v>
      </c>
      <c r="E16" s="11" t="s">
        <v>54</v>
      </c>
      <c r="F16" s="11" t="s">
        <v>40</v>
      </c>
      <c r="G16" s="11">
        <v>7.0</v>
      </c>
      <c r="H16" s="12"/>
      <c r="I16" s="12">
        <f t="shared" si="1"/>
        <v>7</v>
      </c>
      <c r="J16" s="13"/>
      <c r="K16" s="12"/>
      <c r="L16" s="12">
        <f t="shared" si="2"/>
        <v>7</v>
      </c>
      <c r="M16" s="13"/>
      <c r="N16" s="12"/>
      <c r="O16" s="12">
        <f t="shared" si="3"/>
        <v>7</v>
      </c>
      <c r="P16" s="13"/>
      <c r="Q16" s="12"/>
      <c r="R16" s="12">
        <f t="shared" si="4"/>
        <v>7</v>
      </c>
      <c r="S16" s="13"/>
      <c r="T16" s="12"/>
      <c r="U16" s="12">
        <f t="shared" si="5"/>
        <v>7</v>
      </c>
      <c r="V16" s="13"/>
      <c r="W16" s="12"/>
      <c r="X16" s="12">
        <f t="shared" si="6"/>
        <v>7</v>
      </c>
      <c r="Y16" s="13"/>
      <c r="Z16" s="12"/>
      <c r="AA16" s="12">
        <f t="shared" si="7"/>
        <v>7</v>
      </c>
      <c r="AB16" s="13"/>
      <c r="AC16" s="12"/>
      <c r="AD16" s="12">
        <f t="shared" si="8"/>
        <v>7</v>
      </c>
      <c r="AE16" s="13"/>
      <c r="AF16" s="12"/>
      <c r="AG16" s="12">
        <f t="shared" si="9"/>
        <v>7</v>
      </c>
      <c r="AH16" s="13"/>
      <c r="AI16" s="12"/>
      <c r="AJ16" s="12">
        <f t="shared" si="10"/>
        <v>7</v>
      </c>
      <c r="AK16" s="13"/>
      <c r="AL16" s="12"/>
      <c r="AM16" s="12">
        <f t="shared" si="11"/>
        <v>7</v>
      </c>
      <c r="AN16" s="13"/>
      <c r="AO16" s="12"/>
      <c r="AP16" s="12">
        <f t="shared" si="12"/>
        <v>7</v>
      </c>
      <c r="AQ16" s="13"/>
      <c r="AR16" s="12"/>
      <c r="AS16" s="12">
        <f t="shared" si="13"/>
        <v>7</v>
      </c>
      <c r="AT16" s="13"/>
      <c r="AU16" s="12"/>
      <c r="AV16" s="12">
        <f t="shared" si="14"/>
        <v>7</v>
      </c>
      <c r="AW16" s="13"/>
      <c r="AX16" s="12"/>
      <c r="AY16" s="12">
        <f t="shared" si="15"/>
        <v>7</v>
      </c>
      <c r="AZ16" s="13"/>
      <c r="BA16" s="12"/>
      <c r="BB16" s="12">
        <f t="shared" si="16"/>
        <v>7</v>
      </c>
      <c r="BC16" s="13"/>
      <c r="BD16" s="12"/>
      <c r="BE16" s="12">
        <f t="shared" si="17"/>
        <v>7</v>
      </c>
      <c r="BF16" s="13"/>
      <c r="BG16" s="12"/>
      <c r="BH16" s="12">
        <f t="shared" si="18"/>
        <v>7</v>
      </c>
      <c r="BI16" s="13"/>
      <c r="BJ16" s="12"/>
      <c r="BK16" s="12">
        <f t="shared" si="19"/>
        <v>7</v>
      </c>
      <c r="BL16" s="13"/>
      <c r="BM16" s="12"/>
      <c r="BN16" s="12">
        <f t="shared" si="20"/>
        <v>7</v>
      </c>
      <c r="BO16" s="13"/>
      <c r="BP16" s="14">
        <f t="shared" si="21"/>
        <v>0</v>
      </c>
      <c r="BQ16" s="14">
        <f t="shared" si="22"/>
        <v>7</v>
      </c>
    </row>
    <row r="17" ht="71.25" customHeight="1">
      <c r="A17" s="17"/>
      <c r="B17" s="16"/>
      <c r="C17" s="16"/>
      <c r="D17" s="21" t="s">
        <v>110</v>
      </c>
      <c r="E17" s="11" t="s">
        <v>35</v>
      </c>
      <c r="F17" s="11" t="s">
        <v>40</v>
      </c>
      <c r="G17" s="11">
        <v>2.0</v>
      </c>
      <c r="H17" s="12"/>
      <c r="I17" s="12">
        <f t="shared" si="1"/>
        <v>2</v>
      </c>
      <c r="J17" s="13"/>
      <c r="K17" s="12"/>
      <c r="L17" s="12">
        <f t="shared" si="2"/>
        <v>2</v>
      </c>
      <c r="M17" s="13"/>
      <c r="N17" s="12"/>
      <c r="O17" s="12">
        <f t="shared" si="3"/>
        <v>2</v>
      </c>
      <c r="P17" s="13"/>
      <c r="Q17" s="12"/>
      <c r="R17" s="12">
        <f t="shared" si="4"/>
        <v>2</v>
      </c>
      <c r="S17" s="13"/>
      <c r="T17" s="12"/>
      <c r="U17" s="12">
        <f t="shared" si="5"/>
        <v>2</v>
      </c>
      <c r="V17" s="13"/>
      <c r="W17" s="12"/>
      <c r="X17" s="12">
        <f t="shared" si="6"/>
        <v>2</v>
      </c>
      <c r="Y17" s="13"/>
      <c r="Z17" s="12"/>
      <c r="AA17" s="12">
        <f t="shared" si="7"/>
        <v>2</v>
      </c>
      <c r="AB17" s="13"/>
      <c r="AC17" s="12"/>
      <c r="AD17" s="12">
        <f t="shared" si="8"/>
        <v>2</v>
      </c>
      <c r="AE17" s="13"/>
      <c r="AF17" s="12"/>
      <c r="AG17" s="12">
        <f t="shared" si="9"/>
        <v>2</v>
      </c>
      <c r="AH17" s="13"/>
      <c r="AI17" s="12"/>
      <c r="AJ17" s="12">
        <f t="shared" si="10"/>
        <v>2</v>
      </c>
      <c r="AK17" s="13"/>
      <c r="AL17" s="12"/>
      <c r="AM17" s="12">
        <f t="shared" si="11"/>
        <v>2</v>
      </c>
      <c r="AN17" s="13"/>
      <c r="AO17" s="12"/>
      <c r="AP17" s="12">
        <f t="shared" si="12"/>
        <v>2</v>
      </c>
      <c r="AQ17" s="13"/>
      <c r="AR17" s="12"/>
      <c r="AS17" s="12">
        <f t="shared" si="13"/>
        <v>2</v>
      </c>
      <c r="AT17" s="13"/>
      <c r="AU17" s="12"/>
      <c r="AV17" s="12">
        <f t="shared" si="14"/>
        <v>2</v>
      </c>
      <c r="AW17" s="13"/>
      <c r="AX17" s="12"/>
      <c r="AY17" s="12">
        <f t="shared" si="15"/>
        <v>2</v>
      </c>
      <c r="AZ17" s="13"/>
      <c r="BA17" s="12"/>
      <c r="BB17" s="12">
        <f t="shared" si="16"/>
        <v>2</v>
      </c>
      <c r="BC17" s="13"/>
      <c r="BD17" s="12"/>
      <c r="BE17" s="12">
        <f t="shared" si="17"/>
        <v>2</v>
      </c>
      <c r="BF17" s="13"/>
      <c r="BG17" s="12"/>
      <c r="BH17" s="12">
        <f t="shared" si="18"/>
        <v>2</v>
      </c>
      <c r="BI17" s="13"/>
      <c r="BJ17" s="12"/>
      <c r="BK17" s="12">
        <f t="shared" si="19"/>
        <v>2</v>
      </c>
      <c r="BL17" s="13"/>
      <c r="BM17" s="12"/>
      <c r="BN17" s="12">
        <f t="shared" si="20"/>
        <v>2</v>
      </c>
      <c r="BO17" s="13"/>
      <c r="BP17" s="14">
        <f t="shared" si="21"/>
        <v>0</v>
      </c>
      <c r="BQ17" s="14">
        <f t="shared" si="22"/>
        <v>2</v>
      </c>
    </row>
    <row r="18" ht="55.5" customHeight="1">
      <c r="A18" s="17"/>
      <c r="B18" s="9" t="s">
        <v>113</v>
      </c>
      <c r="C18" s="9" t="s">
        <v>115</v>
      </c>
      <c r="D18" s="22" t="s">
        <v>116</v>
      </c>
      <c r="E18" s="11" t="s">
        <v>35</v>
      </c>
      <c r="F18" s="11" t="s">
        <v>40</v>
      </c>
      <c r="G18" s="11">
        <v>2.0</v>
      </c>
      <c r="H18" s="12"/>
      <c r="I18" s="12">
        <f t="shared" si="1"/>
        <v>2</v>
      </c>
      <c r="J18" s="13"/>
      <c r="K18" s="12"/>
      <c r="L18" s="12">
        <f t="shared" si="2"/>
        <v>2</v>
      </c>
      <c r="M18" s="13"/>
      <c r="N18" s="12"/>
      <c r="O18" s="12">
        <f t="shared" si="3"/>
        <v>2</v>
      </c>
      <c r="P18" s="13"/>
      <c r="Q18" s="12"/>
      <c r="R18" s="12">
        <f t="shared" si="4"/>
        <v>2</v>
      </c>
      <c r="S18" s="13"/>
      <c r="T18" s="12"/>
      <c r="U18" s="12">
        <f t="shared" si="5"/>
        <v>2</v>
      </c>
      <c r="V18" s="13"/>
      <c r="W18" s="12"/>
      <c r="X18" s="12">
        <f t="shared" si="6"/>
        <v>2</v>
      </c>
      <c r="Y18" s="13"/>
      <c r="Z18" s="12"/>
      <c r="AA18" s="12">
        <f t="shared" si="7"/>
        <v>2</v>
      </c>
      <c r="AB18" s="13"/>
      <c r="AC18" s="12"/>
      <c r="AD18" s="12">
        <f t="shared" si="8"/>
        <v>2</v>
      </c>
      <c r="AE18" s="13"/>
      <c r="AF18" s="12"/>
      <c r="AG18" s="12">
        <f t="shared" si="9"/>
        <v>2</v>
      </c>
      <c r="AH18" s="13"/>
      <c r="AI18" s="12"/>
      <c r="AJ18" s="12">
        <f t="shared" si="10"/>
        <v>2</v>
      </c>
      <c r="AK18" s="13"/>
      <c r="AL18" s="12"/>
      <c r="AM18" s="12">
        <f t="shared" si="11"/>
        <v>2</v>
      </c>
      <c r="AN18" s="13"/>
      <c r="AO18" s="12"/>
      <c r="AP18" s="12">
        <f t="shared" si="12"/>
        <v>2</v>
      </c>
      <c r="AQ18" s="13"/>
      <c r="AR18" s="12"/>
      <c r="AS18" s="12">
        <f t="shared" si="13"/>
        <v>2</v>
      </c>
      <c r="AT18" s="13"/>
      <c r="AU18" s="12"/>
      <c r="AV18" s="12">
        <f t="shared" si="14"/>
        <v>2</v>
      </c>
      <c r="AW18" s="13"/>
      <c r="AX18" s="12"/>
      <c r="AY18" s="12">
        <f t="shared" si="15"/>
        <v>2</v>
      </c>
      <c r="AZ18" s="13"/>
      <c r="BA18" s="12"/>
      <c r="BB18" s="12">
        <f t="shared" si="16"/>
        <v>2</v>
      </c>
      <c r="BC18" s="13"/>
      <c r="BD18" s="12"/>
      <c r="BE18" s="12">
        <f t="shared" si="17"/>
        <v>2</v>
      </c>
      <c r="BF18" s="13"/>
      <c r="BG18" s="12"/>
      <c r="BH18" s="12">
        <f t="shared" si="18"/>
        <v>2</v>
      </c>
      <c r="BI18" s="13"/>
      <c r="BJ18" s="12"/>
      <c r="BK18" s="12">
        <f t="shared" si="19"/>
        <v>2</v>
      </c>
      <c r="BL18" s="13"/>
      <c r="BM18" s="12"/>
      <c r="BN18" s="12">
        <f t="shared" si="20"/>
        <v>2</v>
      </c>
      <c r="BO18" s="13"/>
      <c r="BP18" s="14">
        <f t="shared" si="21"/>
        <v>0</v>
      </c>
      <c r="BQ18" s="14">
        <f t="shared" si="22"/>
        <v>2</v>
      </c>
    </row>
    <row r="19" ht="90.75" customHeight="1">
      <c r="A19" s="17"/>
      <c r="B19" s="15"/>
      <c r="C19" s="15"/>
      <c r="D19" s="22" t="s">
        <v>121</v>
      </c>
      <c r="E19" s="11" t="s">
        <v>54</v>
      </c>
      <c r="F19" s="11" t="s">
        <v>40</v>
      </c>
      <c r="G19" s="11">
        <v>5.0</v>
      </c>
      <c r="H19" s="12"/>
      <c r="I19" s="12">
        <f t="shared" si="1"/>
        <v>5</v>
      </c>
      <c r="J19" s="13"/>
      <c r="K19" s="12"/>
      <c r="L19" s="12">
        <f t="shared" si="2"/>
        <v>5</v>
      </c>
      <c r="M19" s="13"/>
      <c r="N19" s="12"/>
      <c r="O19" s="12">
        <f t="shared" si="3"/>
        <v>5</v>
      </c>
      <c r="P19" s="13"/>
      <c r="Q19" s="12"/>
      <c r="R19" s="12">
        <f t="shared" si="4"/>
        <v>5</v>
      </c>
      <c r="S19" s="13"/>
      <c r="T19" s="12"/>
      <c r="U19" s="12">
        <f t="shared" si="5"/>
        <v>5</v>
      </c>
      <c r="V19" s="13"/>
      <c r="W19" s="12"/>
      <c r="X19" s="12">
        <f t="shared" si="6"/>
        <v>5</v>
      </c>
      <c r="Y19" s="13"/>
      <c r="Z19" s="12"/>
      <c r="AA19" s="12">
        <f t="shared" si="7"/>
        <v>5</v>
      </c>
      <c r="AB19" s="13"/>
      <c r="AC19" s="12"/>
      <c r="AD19" s="12">
        <f t="shared" si="8"/>
        <v>5</v>
      </c>
      <c r="AE19" s="13"/>
      <c r="AF19" s="12"/>
      <c r="AG19" s="12">
        <f t="shared" si="9"/>
        <v>5</v>
      </c>
      <c r="AH19" s="13"/>
      <c r="AI19" s="12"/>
      <c r="AJ19" s="12">
        <f t="shared" si="10"/>
        <v>5</v>
      </c>
      <c r="AK19" s="13"/>
      <c r="AL19" s="12"/>
      <c r="AM19" s="12">
        <f t="shared" si="11"/>
        <v>5</v>
      </c>
      <c r="AN19" s="13"/>
      <c r="AO19" s="12"/>
      <c r="AP19" s="12">
        <f t="shared" si="12"/>
        <v>5</v>
      </c>
      <c r="AQ19" s="13"/>
      <c r="AR19" s="12"/>
      <c r="AS19" s="12">
        <f t="shared" si="13"/>
        <v>5</v>
      </c>
      <c r="AT19" s="13"/>
      <c r="AU19" s="12"/>
      <c r="AV19" s="12">
        <f t="shared" si="14"/>
        <v>5</v>
      </c>
      <c r="AW19" s="13"/>
      <c r="AX19" s="12"/>
      <c r="AY19" s="12">
        <f t="shared" si="15"/>
        <v>5</v>
      </c>
      <c r="AZ19" s="13"/>
      <c r="BA19" s="12"/>
      <c r="BB19" s="12">
        <f t="shared" si="16"/>
        <v>5</v>
      </c>
      <c r="BC19" s="13"/>
      <c r="BD19" s="12"/>
      <c r="BE19" s="12">
        <f t="shared" si="17"/>
        <v>5</v>
      </c>
      <c r="BF19" s="13"/>
      <c r="BG19" s="12"/>
      <c r="BH19" s="12">
        <f t="shared" si="18"/>
        <v>5</v>
      </c>
      <c r="BI19" s="13"/>
      <c r="BJ19" s="12"/>
      <c r="BK19" s="12">
        <f t="shared" si="19"/>
        <v>5</v>
      </c>
      <c r="BL19" s="13"/>
      <c r="BM19" s="12"/>
      <c r="BN19" s="12">
        <f t="shared" si="20"/>
        <v>5</v>
      </c>
      <c r="BO19" s="13"/>
      <c r="BP19" s="14">
        <f t="shared" si="21"/>
        <v>0</v>
      </c>
      <c r="BQ19" s="14">
        <f t="shared" si="22"/>
        <v>5</v>
      </c>
    </row>
    <row r="20" ht="72.75" customHeight="1">
      <c r="A20" s="17"/>
      <c r="B20" s="15"/>
      <c r="C20" s="15"/>
      <c r="D20" s="22" t="s">
        <v>126</v>
      </c>
      <c r="E20" s="11" t="s">
        <v>54</v>
      </c>
      <c r="F20" s="11" t="s">
        <v>40</v>
      </c>
      <c r="G20" s="11">
        <v>6.0</v>
      </c>
      <c r="H20" s="12"/>
      <c r="I20" s="12">
        <f t="shared" si="1"/>
        <v>6</v>
      </c>
      <c r="J20" s="13"/>
      <c r="K20" s="12"/>
      <c r="L20" s="12">
        <f t="shared" si="2"/>
        <v>6</v>
      </c>
      <c r="M20" s="13"/>
      <c r="N20" s="12"/>
      <c r="O20" s="12">
        <f t="shared" si="3"/>
        <v>6</v>
      </c>
      <c r="P20" s="13"/>
      <c r="Q20" s="12"/>
      <c r="R20" s="12">
        <f t="shared" si="4"/>
        <v>6</v>
      </c>
      <c r="S20" s="13"/>
      <c r="T20" s="12"/>
      <c r="U20" s="12">
        <f t="shared" si="5"/>
        <v>6</v>
      </c>
      <c r="V20" s="13"/>
      <c r="W20" s="12"/>
      <c r="X20" s="12">
        <f t="shared" si="6"/>
        <v>6</v>
      </c>
      <c r="Y20" s="13"/>
      <c r="Z20" s="12"/>
      <c r="AA20" s="12">
        <f t="shared" si="7"/>
        <v>6</v>
      </c>
      <c r="AB20" s="13"/>
      <c r="AC20" s="12"/>
      <c r="AD20" s="12">
        <f t="shared" si="8"/>
        <v>6</v>
      </c>
      <c r="AE20" s="13"/>
      <c r="AF20" s="12"/>
      <c r="AG20" s="12">
        <f t="shared" si="9"/>
        <v>6</v>
      </c>
      <c r="AH20" s="13"/>
      <c r="AI20" s="12"/>
      <c r="AJ20" s="12">
        <f t="shared" si="10"/>
        <v>6</v>
      </c>
      <c r="AK20" s="13"/>
      <c r="AL20" s="12"/>
      <c r="AM20" s="12">
        <f t="shared" si="11"/>
        <v>6</v>
      </c>
      <c r="AN20" s="13"/>
      <c r="AO20" s="12"/>
      <c r="AP20" s="12">
        <f t="shared" si="12"/>
        <v>6</v>
      </c>
      <c r="AQ20" s="13"/>
      <c r="AR20" s="12"/>
      <c r="AS20" s="12">
        <f t="shared" si="13"/>
        <v>6</v>
      </c>
      <c r="AT20" s="13"/>
      <c r="AU20" s="12"/>
      <c r="AV20" s="12">
        <f t="shared" si="14"/>
        <v>6</v>
      </c>
      <c r="AW20" s="13"/>
      <c r="AX20" s="12"/>
      <c r="AY20" s="12">
        <f t="shared" si="15"/>
        <v>6</v>
      </c>
      <c r="AZ20" s="13"/>
      <c r="BA20" s="12"/>
      <c r="BB20" s="12">
        <f t="shared" si="16"/>
        <v>6</v>
      </c>
      <c r="BC20" s="13"/>
      <c r="BD20" s="12"/>
      <c r="BE20" s="12">
        <f t="shared" si="17"/>
        <v>6</v>
      </c>
      <c r="BF20" s="13"/>
      <c r="BG20" s="12"/>
      <c r="BH20" s="12">
        <f t="shared" si="18"/>
        <v>6</v>
      </c>
      <c r="BI20" s="13"/>
      <c r="BJ20" s="12"/>
      <c r="BK20" s="12">
        <f t="shared" si="19"/>
        <v>6</v>
      </c>
      <c r="BL20" s="13"/>
      <c r="BM20" s="12"/>
      <c r="BN20" s="12">
        <f t="shared" si="20"/>
        <v>6</v>
      </c>
      <c r="BO20" s="13"/>
      <c r="BP20" s="14">
        <f t="shared" si="21"/>
        <v>0</v>
      </c>
      <c r="BQ20" s="14">
        <f t="shared" si="22"/>
        <v>6</v>
      </c>
    </row>
    <row r="21" ht="56.25" customHeight="1">
      <c r="A21" s="17"/>
      <c r="B21" s="16"/>
      <c r="C21" s="16"/>
      <c r="D21" s="22" t="s">
        <v>133</v>
      </c>
      <c r="E21" s="11" t="s">
        <v>35</v>
      </c>
      <c r="F21" s="11" t="s">
        <v>40</v>
      </c>
      <c r="G21" s="11">
        <v>1.0</v>
      </c>
      <c r="H21" s="12"/>
      <c r="I21" s="12">
        <f t="shared" si="1"/>
        <v>1</v>
      </c>
      <c r="J21" s="13"/>
      <c r="K21" s="12"/>
      <c r="L21" s="12">
        <f t="shared" si="2"/>
        <v>1</v>
      </c>
      <c r="M21" s="13"/>
      <c r="N21" s="12"/>
      <c r="O21" s="12">
        <f t="shared" si="3"/>
        <v>1</v>
      </c>
      <c r="P21" s="13"/>
      <c r="Q21" s="12"/>
      <c r="R21" s="12">
        <f t="shared" si="4"/>
        <v>1</v>
      </c>
      <c r="S21" s="13"/>
      <c r="T21" s="12"/>
      <c r="U21" s="12">
        <f t="shared" si="5"/>
        <v>1</v>
      </c>
      <c r="V21" s="13"/>
      <c r="W21" s="12"/>
      <c r="X21" s="12">
        <f t="shared" si="6"/>
        <v>1</v>
      </c>
      <c r="Y21" s="13"/>
      <c r="Z21" s="12"/>
      <c r="AA21" s="12">
        <f t="shared" si="7"/>
        <v>1</v>
      </c>
      <c r="AB21" s="13"/>
      <c r="AC21" s="12"/>
      <c r="AD21" s="12">
        <f t="shared" si="8"/>
        <v>1</v>
      </c>
      <c r="AE21" s="13"/>
      <c r="AF21" s="12"/>
      <c r="AG21" s="12">
        <f t="shared" si="9"/>
        <v>1</v>
      </c>
      <c r="AH21" s="13"/>
      <c r="AI21" s="12"/>
      <c r="AJ21" s="12">
        <f t="shared" si="10"/>
        <v>1</v>
      </c>
      <c r="AK21" s="13"/>
      <c r="AL21" s="12"/>
      <c r="AM21" s="12">
        <f t="shared" si="11"/>
        <v>1</v>
      </c>
      <c r="AN21" s="13"/>
      <c r="AO21" s="12"/>
      <c r="AP21" s="12">
        <f t="shared" si="12"/>
        <v>1</v>
      </c>
      <c r="AQ21" s="13"/>
      <c r="AR21" s="12"/>
      <c r="AS21" s="12">
        <f t="shared" si="13"/>
        <v>1</v>
      </c>
      <c r="AT21" s="13"/>
      <c r="AU21" s="12"/>
      <c r="AV21" s="12">
        <f t="shared" si="14"/>
        <v>1</v>
      </c>
      <c r="AW21" s="13"/>
      <c r="AX21" s="12"/>
      <c r="AY21" s="12">
        <f t="shared" si="15"/>
        <v>1</v>
      </c>
      <c r="AZ21" s="13"/>
      <c r="BA21" s="12"/>
      <c r="BB21" s="12">
        <f t="shared" si="16"/>
        <v>1</v>
      </c>
      <c r="BC21" s="13"/>
      <c r="BD21" s="12"/>
      <c r="BE21" s="12">
        <f t="shared" si="17"/>
        <v>1</v>
      </c>
      <c r="BF21" s="13"/>
      <c r="BG21" s="12"/>
      <c r="BH21" s="12">
        <f t="shared" si="18"/>
        <v>1</v>
      </c>
      <c r="BI21" s="13"/>
      <c r="BJ21" s="12"/>
      <c r="BK21" s="12">
        <f t="shared" si="19"/>
        <v>1</v>
      </c>
      <c r="BL21" s="13"/>
      <c r="BM21" s="12"/>
      <c r="BN21" s="12">
        <f t="shared" si="20"/>
        <v>1</v>
      </c>
      <c r="BO21" s="13"/>
      <c r="BP21" s="14">
        <f t="shared" si="21"/>
        <v>0</v>
      </c>
      <c r="BQ21" s="14">
        <f t="shared" si="22"/>
        <v>1</v>
      </c>
    </row>
    <row r="22" ht="87.75" customHeight="1">
      <c r="A22" s="17"/>
      <c r="B22" s="9" t="s">
        <v>137</v>
      </c>
      <c r="C22" s="9" t="s">
        <v>139</v>
      </c>
      <c r="D22" s="20" t="s">
        <v>140</v>
      </c>
      <c r="E22" s="11" t="s">
        <v>35</v>
      </c>
      <c r="F22" s="11" t="s">
        <v>40</v>
      </c>
      <c r="G22" s="11">
        <v>1.0</v>
      </c>
      <c r="H22" s="12"/>
      <c r="I22" s="12">
        <f t="shared" si="1"/>
        <v>1</v>
      </c>
      <c r="J22" s="13"/>
      <c r="K22" s="12"/>
      <c r="L22" s="12">
        <f t="shared" si="2"/>
        <v>1</v>
      </c>
      <c r="M22" s="13"/>
      <c r="N22" s="12"/>
      <c r="O22" s="12">
        <f t="shared" si="3"/>
        <v>1</v>
      </c>
      <c r="P22" s="13"/>
      <c r="Q22" s="12"/>
      <c r="R22" s="12">
        <f t="shared" si="4"/>
        <v>1</v>
      </c>
      <c r="S22" s="13"/>
      <c r="T22" s="12"/>
      <c r="U22" s="12">
        <f t="shared" si="5"/>
        <v>1</v>
      </c>
      <c r="V22" s="13"/>
      <c r="W22" s="12"/>
      <c r="X22" s="12">
        <f t="shared" si="6"/>
        <v>1</v>
      </c>
      <c r="Y22" s="13"/>
      <c r="Z22" s="12"/>
      <c r="AA22" s="12">
        <f t="shared" si="7"/>
        <v>1</v>
      </c>
      <c r="AB22" s="13"/>
      <c r="AC22" s="12"/>
      <c r="AD22" s="12">
        <f t="shared" si="8"/>
        <v>1</v>
      </c>
      <c r="AE22" s="13"/>
      <c r="AF22" s="12"/>
      <c r="AG22" s="12">
        <f t="shared" si="9"/>
        <v>1</v>
      </c>
      <c r="AH22" s="13"/>
      <c r="AI22" s="12"/>
      <c r="AJ22" s="12">
        <f t="shared" si="10"/>
        <v>1</v>
      </c>
      <c r="AK22" s="13"/>
      <c r="AL22" s="12"/>
      <c r="AM22" s="12">
        <f t="shared" si="11"/>
        <v>1</v>
      </c>
      <c r="AN22" s="13"/>
      <c r="AO22" s="12"/>
      <c r="AP22" s="12">
        <f t="shared" si="12"/>
        <v>1</v>
      </c>
      <c r="AQ22" s="13"/>
      <c r="AR22" s="12"/>
      <c r="AS22" s="12">
        <f t="shared" si="13"/>
        <v>1</v>
      </c>
      <c r="AT22" s="13"/>
      <c r="AU22" s="12"/>
      <c r="AV22" s="12">
        <f t="shared" si="14"/>
        <v>1</v>
      </c>
      <c r="AW22" s="13"/>
      <c r="AX22" s="12"/>
      <c r="AY22" s="12">
        <f t="shared" si="15"/>
        <v>1</v>
      </c>
      <c r="AZ22" s="13"/>
      <c r="BA22" s="12"/>
      <c r="BB22" s="12">
        <f t="shared" si="16"/>
        <v>1</v>
      </c>
      <c r="BC22" s="13"/>
      <c r="BD22" s="12"/>
      <c r="BE22" s="12">
        <f t="shared" si="17"/>
        <v>1</v>
      </c>
      <c r="BF22" s="13"/>
      <c r="BG22" s="12"/>
      <c r="BH22" s="12">
        <f t="shared" si="18"/>
        <v>1</v>
      </c>
      <c r="BI22" s="13"/>
      <c r="BJ22" s="12"/>
      <c r="BK22" s="12">
        <f t="shared" si="19"/>
        <v>1</v>
      </c>
      <c r="BL22" s="13"/>
      <c r="BM22" s="12"/>
      <c r="BN22" s="12">
        <f t="shared" si="20"/>
        <v>1</v>
      </c>
      <c r="BO22" s="13"/>
      <c r="BP22" s="14">
        <f t="shared" si="21"/>
        <v>0</v>
      </c>
      <c r="BQ22" s="14">
        <f t="shared" si="22"/>
        <v>1</v>
      </c>
    </row>
    <row r="23" ht="77.25" customHeight="1">
      <c r="A23" s="17"/>
      <c r="B23" s="15"/>
      <c r="C23" s="15"/>
      <c r="D23" s="21" t="s">
        <v>146</v>
      </c>
      <c r="E23" s="11" t="s">
        <v>54</v>
      </c>
      <c r="F23" s="11" t="s">
        <v>40</v>
      </c>
      <c r="G23" s="11">
        <v>8.0</v>
      </c>
      <c r="H23" s="12"/>
      <c r="I23" s="12">
        <f t="shared" si="1"/>
        <v>8</v>
      </c>
      <c r="J23" s="13"/>
      <c r="K23" s="12"/>
      <c r="L23" s="12">
        <f t="shared" si="2"/>
        <v>8</v>
      </c>
      <c r="M23" s="13"/>
      <c r="N23" s="12"/>
      <c r="O23" s="12">
        <f t="shared" si="3"/>
        <v>8</v>
      </c>
      <c r="P23" s="13"/>
      <c r="Q23" s="12"/>
      <c r="R23" s="12">
        <f t="shared" si="4"/>
        <v>8</v>
      </c>
      <c r="S23" s="13"/>
      <c r="T23" s="12"/>
      <c r="U23" s="12">
        <f t="shared" si="5"/>
        <v>8</v>
      </c>
      <c r="V23" s="13"/>
      <c r="W23" s="12"/>
      <c r="X23" s="12">
        <f t="shared" si="6"/>
        <v>8</v>
      </c>
      <c r="Y23" s="13"/>
      <c r="Z23" s="12"/>
      <c r="AA23" s="12">
        <f t="shared" si="7"/>
        <v>8</v>
      </c>
      <c r="AB23" s="13"/>
      <c r="AC23" s="12"/>
      <c r="AD23" s="12">
        <f t="shared" si="8"/>
        <v>8</v>
      </c>
      <c r="AE23" s="13"/>
      <c r="AF23" s="12"/>
      <c r="AG23" s="12">
        <f t="shared" si="9"/>
        <v>8</v>
      </c>
      <c r="AH23" s="13"/>
      <c r="AI23" s="12"/>
      <c r="AJ23" s="12">
        <f t="shared" si="10"/>
        <v>8</v>
      </c>
      <c r="AK23" s="13"/>
      <c r="AL23" s="12"/>
      <c r="AM23" s="12">
        <f t="shared" si="11"/>
        <v>8</v>
      </c>
      <c r="AN23" s="13"/>
      <c r="AO23" s="12"/>
      <c r="AP23" s="12">
        <f t="shared" si="12"/>
        <v>8</v>
      </c>
      <c r="AQ23" s="13"/>
      <c r="AR23" s="12"/>
      <c r="AS23" s="12">
        <f t="shared" si="13"/>
        <v>8</v>
      </c>
      <c r="AT23" s="13"/>
      <c r="AU23" s="12"/>
      <c r="AV23" s="12">
        <f t="shared" si="14"/>
        <v>8</v>
      </c>
      <c r="AW23" s="13"/>
      <c r="AX23" s="12"/>
      <c r="AY23" s="12">
        <f t="shared" si="15"/>
        <v>8</v>
      </c>
      <c r="AZ23" s="13"/>
      <c r="BA23" s="12"/>
      <c r="BB23" s="12">
        <f t="shared" si="16"/>
        <v>8</v>
      </c>
      <c r="BC23" s="13"/>
      <c r="BD23" s="12"/>
      <c r="BE23" s="12">
        <f t="shared" si="17"/>
        <v>8</v>
      </c>
      <c r="BF23" s="13"/>
      <c r="BG23" s="12"/>
      <c r="BH23" s="12">
        <f t="shared" si="18"/>
        <v>8</v>
      </c>
      <c r="BI23" s="13"/>
      <c r="BJ23" s="12"/>
      <c r="BK23" s="12">
        <f t="shared" si="19"/>
        <v>8</v>
      </c>
      <c r="BL23" s="13"/>
      <c r="BM23" s="12"/>
      <c r="BN23" s="12">
        <f t="shared" si="20"/>
        <v>8</v>
      </c>
      <c r="BO23" s="13"/>
      <c r="BP23" s="14">
        <f t="shared" si="21"/>
        <v>0</v>
      </c>
      <c r="BQ23" s="14">
        <f t="shared" si="22"/>
        <v>8</v>
      </c>
    </row>
    <row r="24" ht="68.25" customHeight="1">
      <c r="A24" s="17"/>
      <c r="B24" s="15"/>
      <c r="C24" s="15"/>
      <c r="D24" s="21" t="s">
        <v>154</v>
      </c>
      <c r="E24" s="11" t="s">
        <v>54</v>
      </c>
      <c r="F24" s="11" t="s">
        <v>40</v>
      </c>
      <c r="G24" s="11">
        <v>6.0</v>
      </c>
      <c r="H24" s="12"/>
      <c r="I24" s="12">
        <f t="shared" si="1"/>
        <v>6</v>
      </c>
      <c r="J24" s="13"/>
      <c r="K24" s="12"/>
      <c r="L24" s="12">
        <f t="shared" si="2"/>
        <v>6</v>
      </c>
      <c r="M24" s="13"/>
      <c r="N24" s="12"/>
      <c r="O24" s="12">
        <f t="shared" si="3"/>
        <v>6</v>
      </c>
      <c r="P24" s="13"/>
      <c r="Q24" s="12"/>
      <c r="R24" s="12">
        <f t="shared" si="4"/>
        <v>6</v>
      </c>
      <c r="S24" s="13"/>
      <c r="T24" s="12"/>
      <c r="U24" s="12">
        <f t="shared" si="5"/>
        <v>6</v>
      </c>
      <c r="V24" s="13"/>
      <c r="W24" s="12"/>
      <c r="X24" s="12">
        <f t="shared" si="6"/>
        <v>6</v>
      </c>
      <c r="Y24" s="13"/>
      <c r="Z24" s="12"/>
      <c r="AA24" s="12">
        <f t="shared" si="7"/>
        <v>6</v>
      </c>
      <c r="AB24" s="13"/>
      <c r="AC24" s="12"/>
      <c r="AD24" s="12">
        <f t="shared" si="8"/>
        <v>6</v>
      </c>
      <c r="AE24" s="13"/>
      <c r="AF24" s="12"/>
      <c r="AG24" s="12">
        <f t="shared" si="9"/>
        <v>6</v>
      </c>
      <c r="AH24" s="13"/>
      <c r="AI24" s="12"/>
      <c r="AJ24" s="12">
        <f t="shared" si="10"/>
        <v>6</v>
      </c>
      <c r="AK24" s="13"/>
      <c r="AL24" s="12"/>
      <c r="AM24" s="12">
        <f t="shared" si="11"/>
        <v>6</v>
      </c>
      <c r="AN24" s="13"/>
      <c r="AO24" s="12"/>
      <c r="AP24" s="12">
        <f t="shared" si="12"/>
        <v>6</v>
      </c>
      <c r="AQ24" s="13"/>
      <c r="AR24" s="12"/>
      <c r="AS24" s="12">
        <f t="shared" si="13"/>
        <v>6</v>
      </c>
      <c r="AT24" s="13"/>
      <c r="AU24" s="12"/>
      <c r="AV24" s="12">
        <f t="shared" si="14"/>
        <v>6</v>
      </c>
      <c r="AW24" s="13"/>
      <c r="AX24" s="12"/>
      <c r="AY24" s="12">
        <f t="shared" si="15"/>
        <v>6</v>
      </c>
      <c r="AZ24" s="13"/>
      <c r="BA24" s="12"/>
      <c r="BB24" s="12">
        <f t="shared" si="16"/>
        <v>6</v>
      </c>
      <c r="BC24" s="13"/>
      <c r="BD24" s="12"/>
      <c r="BE24" s="12">
        <f t="shared" si="17"/>
        <v>6</v>
      </c>
      <c r="BF24" s="13"/>
      <c r="BG24" s="12"/>
      <c r="BH24" s="12">
        <f t="shared" si="18"/>
        <v>6</v>
      </c>
      <c r="BI24" s="13"/>
      <c r="BJ24" s="12"/>
      <c r="BK24" s="12">
        <f t="shared" si="19"/>
        <v>6</v>
      </c>
      <c r="BL24" s="13"/>
      <c r="BM24" s="12"/>
      <c r="BN24" s="12">
        <f t="shared" si="20"/>
        <v>6</v>
      </c>
      <c r="BO24" s="13"/>
      <c r="BP24" s="14">
        <f t="shared" si="21"/>
        <v>0</v>
      </c>
      <c r="BQ24" s="14">
        <f t="shared" si="22"/>
        <v>6</v>
      </c>
    </row>
    <row r="25" ht="96.0" customHeight="1">
      <c r="A25" s="17"/>
      <c r="B25" s="16"/>
      <c r="C25" s="16"/>
      <c r="D25" s="21" t="s">
        <v>158</v>
      </c>
      <c r="E25" s="11" t="s">
        <v>35</v>
      </c>
      <c r="F25" s="11" t="s">
        <v>40</v>
      </c>
      <c r="G25" s="11">
        <v>2.0</v>
      </c>
      <c r="H25" s="12"/>
      <c r="I25" s="12">
        <f t="shared" si="1"/>
        <v>2</v>
      </c>
      <c r="J25" s="13"/>
      <c r="K25" s="12"/>
      <c r="L25" s="12">
        <f t="shared" si="2"/>
        <v>2</v>
      </c>
      <c r="M25" s="13"/>
      <c r="N25" s="12"/>
      <c r="O25" s="12">
        <f t="shared" si="3"/>
        <v>2</v>
      </c>
      <c r="P25" s="13"/>
      <c r="Q25" s="12"/>
      <c r="R25" s="12">
        <f t="shared" si="4"/>
        <v>2</v>
      </c>
      <c r="S25" s="13"/>
      <c r="T25" s="12"/>
      <c r="U25" s="12">
        <f t="shared" si="5"/>
        <v>2</v>
      </c>
      <c r="V25" s="13"/>
      <c r="W25" s="12"/>
      <c r="X25" s="12">
        <f t="shared" si="6"/>
        <v>2</v>
      </c>
      <c r="Y25" s="13"/>
      <c r="Z25" s="12"/>
      <c r="AA25" s="12">
        <f t="shared" si="7"/>
        <v>2</v>
      </c>
      <c r="AB25" s="13"/>
      <c r="AC25" s="12"/>
      <c r="AD25" s="12">
        <f t="shared" si="8"/>
        <v>2</v>
      </c>
      <c r="AE25" s="13"/>
      <c r="AF25" s="12"/>
      <c r="AG25" s="12">
        <f t="shared" si="9"/>
        <v>2</v>
      </c>
      <c r="AH25" s="13"/>
      <c r="AI25" s="12"/>
      <c r="AJ25" s="12">
        <f t="shared" si="10"/>
        <v>2</v>
      </c>
      <c r="AK25" s="13"/>
      <c r="AL25" s="12"/>
      <c r="AM25" s="12">
        <f t="shared" si="11"/>
        <v>2</v>
      </c>
      <c r="AN25" s="13"/>
      <c r="AO25" s="12"/>
      <c r="AP25" s="12">
        <f t="shared" si="12"/>
        <v>2</v>
      </c>
      <c r="AQ25" s="13"/>
      <c r="AR25" s="12"/>
      <c r="AS25" s="12">
        <f t="shared" si="13"/>
        <v>2</v>
      </c>
      <c r="AT25" s="13"/>
      <c r="AU25" s="12"/>
      <c r="AV25" s="12">
        <f t="shared" si="14"/>
        <v>2</v>
      </c>
      <c r="AW25" s="13"/>
      <c r="AX25" s="12"/>
      <c r="AY25" s="12">
        <f t="shared" si="15"/>
        <v>2</v>
      </c>
      <c r="AZ25" s="13"/>
      <c r="BA25" s="12"/>
      <c r="BB25" s="12">
        <f t="shared" si="16"/>
        <v>2</v>
      </c>
      <c r="BC25" s="13"/>
      <c r="BD25" s="12"/>
      <c r="BE25" s="12">
        <f t="shared" si="17"/>
        <v>2</v>
      </c>
      <c r="BF25" s="13"/>
      <c r="BG25" s="12"/>
      <c r="BH25" s="12">
        <f t="shared" si="18"/>
        <v>2</v>
      </c>
      <c r="BI25" s="13"/>
      <c r="BJ25" s="12"/>
      <c r="BK25" s="12">
        <f t="shared" si="19"/>
        <v>2</v>
      </c>
      <c r="BL25" s="13"/>
      <c r="BM25" s="12"/>
      <c r="BN25" s="12">
        <f t="shared" si="20"/>
        <v>2</v>
      </c>
      <c r="BO25" s="13"/>
      <c r="BP25" s="14">
        <f t="shared" si="21"/>
        <v>0</v>
      </c>
      <c r="BQ25" s="14">
        <f t="shared" si="22"/>
        <v>2</v>
      </c>
    </row>
    <row r="26" ht="55.5" customHeight="1">
      <c r="A26" s="17"/>
      <c r="B26" s="9" t="s">
        <v>162</v>
      </c>
      <c r="C26" s="9" t="s">
        <v>163</v>
      </c>
      <c r="D26" s="20" t="s">
        <v>164</v>
      </c>
      <c r="E26" s="11" t="s">
        <v>35</v>
      </c>
      <c r="F26" s="11" t="s">
        <v>40</v>
      </c>
      <c r="G26" s="11">
        <v>2.0</v>
      </c>
      <c r="H26" s="12"/>
      <c r="I26" s="12">
        <f t="shared" si="1"/>
        <v>2</v>
      </c>
      <c r="J26" s="13"/>
      <c r="K26" s="12"/>
      <c r="L26" s="12">
        <f t="shared" si="2"/>
        <v>2</v>
      </c>
      <c r="M26" s="13"/>
      <c r="N26" s="12"/>
      <c r="O26" s="12">
        <f t="shared" si="3"/>
        <v>2</v>
      </c>
      <c r="P26" s="13"/>
      <c r="Q26" s="12"/>
      <c r="R26" s="12">
        <f t="shared" si="4"/>
        <v>2</v>
      </c>
      <c r="S26" s="13"/>
      <c r="T26" s="12"/>
      <c r="U26" s="12">
        <f t="shared" si="5"/>
        <v>2</v>
      </c>
      <c r="V26" s="13"/>
      <c r="W26" s="12"/>
      <c r="X26" s="12">
        <f t="shared" si="6"/>
        <v>2</v>
      </c>
      <c r="Y26" s="13"/>
      <c r="Z26" s="12"/>
      <c r="AA26" s="12">
        <f t="shared" si="7"/>
        <v>2</v>
      </c>
      <c r="AB26" s="13"/>
      <c r="AC26" s="12"/>
      <c r="AD26" s="12">
        <f t="shared" si="8"/>
        <v>2</v>
      </c>
      <c r="AE26" s="13"/>
      <c r="AF26" s="12"/>
      <c r="AG26" s="12">
        <f t="shared" si="9"/>
        <v>2</v>
      </c>
      <c r="AH26" s="13"/>
      <c r="AI26" s="12"/>
      <c r="AJ26" s="12">
        <f t="shared" si="10"/>
        <v>2</v>
      </c>
      <c r="AK26" s="13"/>
      <c r="AL26" s="12"/>
      <c r="AM26" s="12">
        <f t="shared" si="11"/>
        <v>2</v>
      </c>
      <c r="AN26" s="13"/>
      <c r="AO26" s="12"/>
      <c r="AP26" s="12">
        <f t="shared" si="12"/>
        <v>2</v>
      </c>
      <c r="AQ26" s="13"/>
      <c r="AR26" s="12"/>
      <c r="AS26" s="12">
        <f t="shared" si="13"/>
        <v>2</v>
      </c>
      <c r="AT26" s="13"/>
      <c r="AU26" s="12"/>
      <c r="AV26" s="12">
        <f t="shared" si="14"/>
        <v>2</v>
      </c>
      <c r="AW26" s="13"/>
      <c r="AX26" s="12"/>
      <c r="AY26" s="12">
        <f t="shared" si="15"/>
        <v>2</v>
      </c>
      <c r="AZ26" s="13"/>
      <c r="BA26" s="12"/>
      <c r="BB26" s="12">
        <f t="shared" si="16"/>
        <v>2</v>
      </c>
      <c r="BC26" s="13"/>
      <c r="BD26" s="12"/>
      <c r="BE26" s="12">
        <f t="shared" si="17"/>
        <v>2</v>
      </c>
      <c r="BF26" s="13"/>
      <c r="BG26" s="12"/>
      <c r="BH26" s="12">
        <f t="shared" si="18"/>
        <v>2</v>
      </c>
      <c r="BI26" s="13"/>
      <c r="BJ26" s="12"/>
      <c r="BK26" s="12">
        <f t="shared" si="19"/>
        <v>2</v>
      </c>
      <c r="BL26" s="13"/>
      <c r="BM26" s="12"/>
      <c r="BN26" s="12">
        <f t="shared" si="20"/>
        <v>2</v>
      </c>
      <c r="BO26" s="13"/>
      <c r="BP26" s="14">
        <f t="shared" si="21"/>
        <v>0</v>
      </c>
      <c r="BQ26" s="14">
        <f t="shared" si="22"/>
        <v>2</v>
      </c>
    </row>
    <row r="27" ht="90.75" customHeight="1">
      <c r="A27" s="17"/>
      <c r="B27" s="15"/>
      <c r="C27" s="15"/>
      <c r="D27" s="21" t="s">
        <v>171</v>
      </c>
      <c r="E27" s="11" t="s">
        <v>54</v>
      </c>
      <c r="F27" s="11" t="s">
        <v>40</v>
      </c>
      <c r="G27" s="11">
        <v>2.0</v>
      </c>
      <c r="H27" s="12"/>
      <c r="I27" s="12">
        <f t="shared" si="1"/>
        <v>2</v>
      </c>
      <c r="J27" s="13"/>
      <c r="K27" s="12"/>
      <c r="L27" s="12">
        <f t="shared" si="2"/>
        <v>2</v>
      </c>
      <c r="M27" s="13"/>
      <c r="N27" s="12"/>
      <c r="O27" s="12">
        <f t="shared" si="3"/>
        <v>2</v>
      </c>
      <c r="P27" s="13"/>
      <c r="Q27" s="12"/>
      <c r="R27" s="12">
        <f t="shared" si="4"/>
        <v>2</v>
      </c>
      <c r="S27" s="13"/>
      <c r="T27" s="12"/>
      <c r="U27" s="12">
        <f t="shared" si="5"/>
        <v>2</v>
      </c>
      <c r="V27" s="13"/>
      <c r="W27" s="12"/>
      <c r="X27" s="12">
        <f t="shared" si="6"/>
        <v>2</v>
      </c>
      <c r="Y27" s="13"/>
      <c r="Z27" s="12"/>
      <c r="AA27" s="12">
        <f t="shared" si="7"/>
        <v>2</v>
      </c>
      <c r="AB27" s="13"/>
      <c r="AC27" s="12"/>
      <c r="AD27" s="12">
        <f t="shared" si="8"/>
        <v>2</v>
      </c>
      <c r="AE27" s="13"/>
      <c r="AF27" s="12"/>
      <c r="AG27" s="12">
        <f t="shared" si="9"/>
        <v>2</v>
      </c>
      <c r="AH27" s="13"/>
      <c r="AI27" s="12"/>
      <c r="AJ27" s="12">
        <f t="shared" si="10"/>
        <v>2</v>
      </c>
      <c r="AK27" s="13"/>
      <c r="AL27" s="12"/>
      <c r="AM27" s="12">
        <f t="shared" si="11"/>
        <v>2</v>
      </c>
      <c r="AN27" s="13"/>
      <c r="AO27" s="12"/>
      <c r="AP27" s="12">
        <f t="shared" si="12"/>
        <v>2</v>
      </c>
      <c r="AQ27" s="13"/>
      <c r="AR27" s="12"/>
      <c r="AS27" s="12">
        <f t="shared" si="13"/>
        <v>2</v>
      </c>
      <c r="AT27" s="13"/>
      <c r="AU27" s="12"/>
      <c r="AV27" s="12">
        <f t="shared" si="14"/>
        <v>2</v>
      </c>
      <c r="AW27" s="13"/>
      <c r="AX27" s="12"/>
      <c r="AY27" s="12">
        <f t="shared" si="15"/>
        <v>2</v>
      </c>
      <c r="AZ27" s="13"/>
      <c r="BA27" s="12"/>
      <c r="BB27" s="12">
        <f t="shared" si="16"/>
        <v>2</v>
      </c>
      <c r="BC27" s="13"/>
      <c r="BD27" s="12"/>
      <c r="BE27" s="12">
        <f t="shared" si="17"/>
        <v>2</v>
      </c>
      <c r="BF27" s="13"/>
      <c r="BG27" s="12"/>
      <c r="BH27" s="12">
        <f t="shared" si="18"/>
        <v>2</v>
      </c>
      <c r="BI27" s="13"/>
      <c r="BJ27" s="12"/>
      <c r="BK27" s="12">
        <f t="shared" si="19"/>
        <v>2</v>
      </c>
      <c r="BL27" s="13"/>
      <c r="BM27" s="12"/>
      <c r="BN27" s="12">
        <f t="shared" si="20"/>
        <v>2</v>
      </c>
      <c r="BO27" s="13"/>
      <c r="BP27" s="14">
        <f t="shared" si="21"/>
        <v>0</v>
      </c>
      <c r="BQ27" s="14">
        <f t="shared" si="22"/>
        <v>2</v>
      </c>
    </row>
    <row r="28" ht="88.5" customHeight="1">
      <c r="A28" s="17"/>
      <c r="B28" s="15"/>
      <c r="C28" s="15"/>
      <c r="D28" s="21" t="s">
        <v>176</v>
      </c>
      <c r="E28" s="11" t="s">
        <v>54</v>
      </c>
      <c r="F28" s="11" t="s">
        <v>40</v>
      </c>
      <c r="G28" s="11">
        <v>4.0</v>
      </c>
      <c r="H28" s="12"/>
      <c r="I28" s="12">
        <f t="shared" si="1"/>
        <v>4</v>
      </c>
      <c r="J28" s="13"/>
      <c r="K28" s="12"/>
      <c r="L28" s="12">
        <f t="shared" si="2"/>
        <v>4</v>
      </c>
      <c r="M28" s="13"/>
      <c r="N28" s="12"/>
      <c r="O28" s="12">
        <f t="shared" si="3"/>
        <v>4</v>
      </c>
      <c r="P28" s="13"/>
      <c r="Q28" s="12"/>
      <c r="R28" s="12">
        <f t="shared" si="4"/>
        <v>4</v>
      </c>
      <c r="S28" s="13"/>
      <c r="T28" s="12"/>
      <c r="U28" s="12">
        <f t="shared" si="5"/>
        <v>4</v>
      </c>
      <c r="V28" s="13"/>
      <c r="W28" s="12"/>
      <c r="X28" s="12">
        <f t="shared" si="6"/>
        <v>4</v>
      </c>
      <c r="Y28" s="13"/>
      <c r="Z28" s="12"/>
      <c r="AA28" s="12">
        <f t="shared" si="7"/>
        <v>4</v>
      </c>
      <c r="AB28" s="13"/>
      <c r="AC28" s="12"/>
      <c r="AD28" s="12">
        <f t="shared" si="8"/>
        <v>4</v>
      </c>
      <c r="AE28" s="13"/>
      <c r="AF28" s="12"/>
      <c r="AG28" s="12">
        <f t="shared" si="9"/>
        <v>4</v>
      </c>
      <c r="AH28" s="13"/>
      <c r="AI28" s="12"/>
      <c r="AJ28" s="12">
        <f t="shared" si="10"/>
        <v>4</v>
      </c>
      <c r="AK28" s="13"/>
      <c r="AL28" s="12"/>
      <c r="AM28" s="12">
        <f t="shared" si="11"/>
        <v>4</v>
      </c>
      <c r="AN28" s="13"/>
      <c r="AO28" s="12"/>
      <c r="AP28" s="12">
        <f t="shared" si="12"/>
        <v>4</v>
      </c>
      <c r="AQ28" s="13"/>
      <c r="AR28" s="12"/>
      <c r="AS28" s="12">
        <f t="shared" si="13"/>
        <v>4</v>
      </c>
      <c r="AT28" s="13"/>
      <c r="AU28" s="12"/>
      <c r="AV28" s="12">
        <f t="shared" si="14"/>
        <v>4</v>
      </c>
      <c r="AW28" s="13"/>
      <c r="AX28" s="12"/>
      <c r="AY28" s="12">
        <f t="shared" si="15"/>
        <v>4</v>
      </c>
      <c r="AZ28" s="13"/>
      <c r="BA28" s="12"/>
      <c r="BB28" s="12">
        <f t="shared" si="16"/>
        <v>4</v>
      </c>
      <c r="BC28" s="13"/>
      <c r="BD28" s="12"/>
      <c r="BE28" s="12">
        <f t="shared" si="17"/>
        <v>4</v>
      </c>
      <c r="BF28" s="13"/>
      <c r="BG28" s="12"/>
      <c r="BH28" s="12">
        <f t="shared" si="18"/>
        <v>4</v>
      </c>
      <c r="BI28" s="13"/>
      <c r="BJ28" s="12"/>
      <c r="BK28" s="12">
        <f t="shared" si="19"/>
        <v>4</v>
      </c>
      <c r="BL28" s="13"/>
      <c r="BM28" s="12"/>
      <c r="BN28" s="12">
        <f t="shared" si="20"/>
        <v>4</v>
      </c>
      <c r="BO28" s="13"/>
      <c r="BP28" s="14">
        <f t="shared" si="21"/>
        <v>0</v>
      </c>
      <c r="BQ28" s="14">
        <f t="shared" si="22"/>
        <v>4</v>
      </c>
    </row>
    <row r="29" ht="81.0" customHeight="1">
      <c r="A29" s="23"/>
      <c r="B29" s="16"/>
      <c r="C29" s="16"/>
      <c r="D29" s="21" t="s">
        <v>179</v>
      </c>
      <c r="E29" s="11" t="s">
        <v>35</v>
      </c>
      <c r="F29" s="11" t="s">
        <v>40</v>
      </c>
      <c r="G29" s="11">
        <v>2.0</v>
      </c>
      <c r="H29" s="12"/>
      <c r="I29" s="12">
        <f t="shared" si="1"/>
        <v>2</v>
      </c>
      <c r="J29" s="13"/>
      <c r="K29" s="12"/>
      <c r="L29" s="12">
        <f t="shared" si="2"/>
        <v>2</v>
      </c>
      <c r="M29" s="13"/>
      <c r="N29" s="12"/>
      <c r="O29" s="12">
        <f t="shared" si="3"/>
        <v>2</v>
      </c>
      <c r="P29" s="13"/>
      <c r="Q29" s="12"/>
      <c r="R29" s="12">
        <f t="shared" si="4"/>
        <v>2</v>
      </c>
      <c r="S29" s="13"/>
      <c r="T29" s="12"/>
      <c r="U29" s="12">
        <f t="shared" si="5"/>
        <v>2</v>
      </c>
      <c r="V29" s="13"/>
      <c r="W29" s="12"/>
      <c r="X29" s="12">
        <f t="shared" si="6"/>
        <v>2</v>
      </c>
      <c r="Y29" s="13"/>
      <c r="Z29" s="12"/>
      <c r="AA29" s="12">
        <f t="shared" si="7"/>
        <v>2</v>
      </c>
      <c r="AB29" s="13"/>
      <c r="AC29" s="12"/>
      <c r="AD29" s="12">
        <f t="shared" si="8"/>
        <v>2</v>
      </c>
      <c r="AE29" s="13"/>
      <c r="AF29" s="12"/>
      <c r="AG29" s="12">
        <f t="shared" si="9"/>
        <v>2</v>
      </c>
      <c r="AH29" s="13"/>
      <c r="AI29" s="12"/>
      <c r="AJ29" s="12">
        <f t="shared" si="10"/>
        <v>2</v>
      </c>
      <c r="AK29" s="13"/>
      <c r="AL29" s="12"/>
      <c r="AM29" s="12">
        <f t="shared" si="11"/>
        <v>2</v>
      </c>
      <c r="AN29" s="13"/>
      <c r="AO29" s="12"/>
      <c r="AP29" s="12">
        <f t="shared" si="12"/>
        <v>2</v>
      </c>
      <c r="AQ29" s="13"/>
      <c r="AR29" s="12"/>
      <c r="AS29" s="12">
        <f t="shared" si="13"/>
        <v>2</v>
      </c>
      <c r="AT29" s="13"/>
      <c r="AU29" s="12"/>
      <c r="AV29" s="12">
        <f t="shared" si="14"/>
        <v>2</v>
      </c>
      <c r="AW29" s="13"/>
      <c r="AX29" s="12"/>
      <c r="AY29" s="12">
        <f t="shared" si="15"/>
        <v>2</v>
      </c>
      <c r="AZ29" s="13"/>
      <c r="BA29" s="12"/>
      <c r="BB29" s="12">
        <f t="shared" si="16"/>
        <v>2</v>
      </c>
      <c r="BC29" s="13"/>
      <c r="BD29" s="12"/>
      <c r="BE29" s="12">
        <f t="shared" si="17"/>
        <v>2</v>
      </c>
      <c r="BF29" s="13"/>
      <c r="BG29" s="12"/>
      <c r="BH29" s="12">
        <f t="shared" si="18"/>
        <v>2</v>
      </c>
      <c r="BI29" s="13"/>
      <c r="BJ29" s="12"/>
      <c r="BK29" s="12">
        <f t="shared" si="19"/>
        <v>2</v>
      </c>
      <c r="BL29" s="13"/>
      <c r="BM29" s="12"/>
      <c r="BN29" s="12">
        <f t="shared" si="20"/>
        <v>2</v>
      </c>
      <c r="BO29" s="13"/>
      <c r="BP29" s="14">
        <f t="shared" si="21"/>
        <v>0</v>
      </c>
      <c r="BQ29" s="14">
        <f t="shared" si="22"/>
        <v>2</v>
      </c>
    </row>
    <row r="30" ht="43.5" customHeight="1">
      <c r="A30" s="24"/>
      <c r="B30" s="25" t="s">
        <v>170</v>
      </c>
      <c r="C30" s="26"/>
      <c r="D30" s="26"/>
      <c r="E30" s="26"/>
      <c r="F30" s="27"/>
      <c r="G30" s="28">
        <f>SUM(G6:G29)</f>
        <v>80</v>
      </c>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row>
    <row r="31" ht="15.75" customHeight="1">
      <c r="A31" s="1"/>
      <c r="B31" s="29"/>
      <c r="C31" s="30"/>
      <c r="D31" s="30"/>
      <c r="E31" s="30"/>
      <c r="F31" s="31"/>
      <c r="G31" s="16"/>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sheetData>
  <mergeCells count="35">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H4:I4"/>
    <mergeCell ref="K4:L4"/>
    <mergeCell ref="N4:O4"/>
    <mergeCell ref="Q4:R4"/>
    <mergeCell ref="T4:U4"/>
    <mergeCell ref="W4:X4"/>
    <mergeCell ref="Z4:AA4"/>
    <mergeCell ref="B18:B21"/>
    <mergeCell ref="B22:B25"/>
    <mergeCell ref="B26:B29"/>
    <mergeCell ref="C22:C25"/>
    <mergeCell ref="C26:C29"/>
    <mergeCell ref="B30:F31"/>
    <mergeCell ref="G30:G31"/>
    <mergeCell ref="B6:B9"/>
    <mergeCell ref="C6:C9"/>
    <mergeCell ref="B10:B13"/>
    <mergeCell ref="C10:C13"/>
    <mergeCell ref="B14:B17"/>
    <mergeCell ref="C14:C17"/>
    <mergeCell ref="C18:C2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24.25"/>
    <col customWidth="1" min="3" max="3" width="75.25"/>
    <col customWidth="1" min="4" max="4" width="2.5"/>
    <col customWidth="1" min="5" max="6" width="10.0"/>
    <col customWidth="1" min="7" max="26" width="9.38"/>
  </cols>
  <sheetData>
    <row r="1">
      <c r="A1" s="1"/>
      <c r="B1" s="2" t="s">
        <v>195</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4" t="s">
        <v>196</v>
      </c>
      <c r="C4" s="34" t="s">
        <v>197</v>
      </c>
      <c r="D4" s="1"/>
      <c r="E4" s="1"/>
      <c r="F4" s="1"/>
      <c r="G4" s="1"/>
      <c r="H4" s="1"/>
      <c r="I4" s="1"/>
      <c r="J4" s="1"/>
      <c r="K4" s="1"/>
      <c r="L4" s="1"/>
      <c r="M4" s="1"/>
      <c r="N4" s="1"/>
      <c r="O4" s="1"/>
      <c r="P4" s="1"/>
      <c r="Q4" s="1"/>
      <c r="R4" s="1"/>
      <c r="S4" s="1"/>
      <c r="T4" s="1"/>
      <c r="U4" s="1"/>
      <c r="V4" s="1"/>
      <c r="W4" s="1"/>
      <c r="X4" s="1"/>
      <c r="Y4" s="1"/>
      <c r="Z4" s="1"/>
    </row>
    <row r="5">
      <c r="A5" s="1"/>
      <c r="B5" s="11" t="s">
        <v>24</v>
      </c>
      <c r="C5" s="35" t="s">
        <v>198</v>
      </c>
      <c r="D5" s="1"/>
      <c r="E5" s="1"/>
      <c r="F5" s="1"/>
      <c r="G5" s="1"/>
      <c r="H5" s="1"/>
      <c r="I5" s="1"/>
      <c r="J5" s="1"/>
      <c r="K5" s="1"/>
      <c r="L5" s="1"/>
      <c r="M5" s="1"/>
      <c r="N5" s="1"/>
      <c r="O5" s="1"/>
      <c r="P5" s="1"/>
      <c r="Q5" s="1"/>
      <c r="R5" s="1"/>
      <c r="S5" s="1"/>
      <c r="T5" s="1"/>
      <c r="U5" s="1"/>
      <c r="V5" s="1"/>
      <c r="W5" s="1"/>
      <c r="X5" s="1"/>
      <c r="Y5" s="1"/>
      <c r="Z5" s="1"/>
    </row>
    <row r="6">
      <c r="A6" s="1"/>
      <c r="B6" s="11" t="s">
        <v>25</v>
      </c>
      <c r="C6" s="35" t="s">
        <v>199</v>
      </c>
      <c r="D6" s="1"/>
      <c r="E6" s="1"/>
      <c r="F6" s="1"/>
      <c r="G6" s="1"/>
      <c r="H6" s="1"/>
      <c r="I6" s="1"/>
      <c r="J6" s="1"/>
      <c r="K6" s="1"/>
      <c r="L6" s="1"/>
      <c r="M6" s="1"/>
      <c r="N6" s="1"/>
      <c r="O6" s="1"/>
      <c r="P6" s="1"/>
      <c r="Q6" s="1"/>
      <c r="R6" s="1"/>
      <c r="S6" s="1"/>
      <c r="T6" s="1"/>
      <c r="U6" s="1"/>
      <c r="V6" s="1"/>
      <c r="W6" s="1"/>
      <c r="X6" s="1"/>
      <c r="Y6" s="1"/>
      <c r="Z6" s="1"/>
    </row>
    <row r="7">
      <c r="A7" s="1"/>
      <c r="B7" s="35" t="s">
        <v>26</v>
      </c>
      <c r="C7" s="35" t="s">
        <v>200</v>
      </c>
      <c r="D7" s="1"/>
      <c r="E7" s="1"/>
      <c r="F7" s="1"/>
      <c r="G7" s="1"/>
      <c r="H7" s="1"/>
      <c r="I7" s="1"/>
      <c r="J7" s="1"/>
      <c r="K7" s="1"/>
      <c r="L7" s="1"/>
      <c r="M7" s="1"/>
      <c r="N7" s="1"/>
      <c r="O7" s="1"/>
      <c r="P7" s="1"/>
      <c r="Q7" s="1"/>
      <c r="R7" s="1"/>
      <c r="S7" s="1"/>
      <c r="T7" s="1"/>
      <c r="U7" s="1"/>
      <c r="V7" s="1"/>
      <c r="W7" s="1"/>
      <c r="X7" s="1"/>
      <c r="Y7" s="1"/>
      <c r="Z7" s="1"/>
    </row>
    <row r="8">
      <c r="A8" s="1"/>
      <c r="B8" s="35" t="s">
        <v>27</v>
      </c>
      <c r="C8" s="35" t="s">
        <v>201</v>
      </c>
      <c r="D8" s="1"/>
      <c r="E8" s="1"/>
      <c r="F8" s="1"/>
      <c r="G8" s="1"/>
      <c r="H8" s="1"/>
      <c r="I8" s="1"/>
      <c r="J8" s="1"/>
      <c r="K8" s="1"/>
      <c r="L8" s="1"/>
      <c r="M8" s="1"/>
      <c r="N8" s="1"/>
      <c r="O8" s="1"/>
      <c r="P8" s="1"/>
      <c r="Q8" s="1"/>
      <c r="R8" s="1"/>
      <c r="S8" s="1"/>
      <c r="T8" s="1"/>
      <c r="U8" s="1"/>
      <c r="V8" s="1"/>
      <c r="W8" s="1"/>
      <c r="X8" s="1"/>
      <c r="Y8" s="1"/>
      <c r="Z8" s="1"/>
    </row>
    <row r="9">
      <c r="A9" s="1"/>
      <c r="B9" s="35" t="s">
        <v>28</v>
      </c>
      <c r="C9" s="35" t="s">
        <v>202</v>
      </c>
      <c r="D9" s="1"/>
      <c r="E9" s="1"/>
      <c r="F9" s="1"/>
      <c r="G9" s="1"/>
      <c r="H9" s="1"/>
      <c r="I9" s="1"/>
      <c r="J9" s="1"/>
      <c r="K9" s="1"/>
      <c r="L9" s="1"/>
      <c r="M9" s="1"/>
      <c r="N9" s="1"/>
      <c r="O9" s="1"/>
      <c r="P9" s="1"/>
      <c r="Q9" s="1"/>
      <c r="R9" s="1"/>
      <c r="S9" s="1"/>
      <c r="T9" s="1"/>
      <c r="U9" s="1"/>
      <c r="V9" s="1"/>
      <c r="W9" s="1"/>
      <c r="X9" s="1"/>
      <c r="Y9" s="1"/>
      <c r="Z9" s="1"/>
    </row>
    <row r="10">
      <c r="A10" s="1"/>
      <c r="B10" s="35" t="s">
        <v>29</v>
      </c>
      <c r="C10" s="35" t="s">
        <v>203</v>
      </c>
      <c r="D10" s="1"/>
      <c r="E10" s="1"/>
      <c r="F10" s="1"/>
      <c r="G10" s="1"/>
      <c r="H10" s="1"/>
      <c r="I10" s="1"/>
      <c r="J10" s="1"/>
      <c r="K10" s="1"/>
      <c r="L10" s="1"/>
      <c r="M10" s="1"/>
      <c r="N10" s="1"/>
      <c r="O10" s="1"/>
      <c r="P10" s="1"/>
      <c r="Q10" s="1"/>
      <c r="R10" s="1"/>
      <c r="S10" s="1"/>
      <c r="T10" s="1"/>
      <c r="U10" s="1"/>
      <c r="V10" s="1"/>
      <c r="W10" s="1"/>
      <c r="X10" s="1"/>
      <c r="Y10" s="1"/>
      <c r="Z10" s="1"/>
    </row>
    <row r="11">
      <c r="A11" s="1"/>
      <c r="B11" s="35" t="s">
        <v>204</v>
      </c>
      <c r="C11" s="35" t="s">
        <v>205</v>
      </c>
      <c r="D11" s="1"/>
      <c r="E11" s="1"/>
      <c r="F11" s="1"/>
      <c r="G11" s="1"/>
      <c r="H11" s="1"/>
      <c r="I11" s="1"/>
      <c r="J11" s="1"/>
      <c r="K11" s="1"/>
      <c r="L11" s="1"/>
      <c r="M11" s="1"/>
      <c r="N11" s="1"/>
      <c r="O11" s="1"/>
      <c r="P11" s="1"/>
      <c r="Q11" s="1"/>
      <c r="R11" s="1"/>
      <c r="S11" s="1"/>
      <c r="T11" s="1"/>
      <c r="U11" s="1"/>
      <c r="V11" s="1"/>
      <c r="W11" s="1"/>
      <c r="X11" s="1"/>
      <c r="Y11" s="1"/>
      <c r="Z11" s="1"/>
    </row>
    <row r="12">
      <c r="A12" s="1"/>
      <c r="B12" s="35" t="s">
        <v>30</v>
      </c>
      <c r="C12" s="35" t="s">
        <v>206</v>
      </c>
      <c r="D12" s="1"/>
      <c r="E12" s="1"/>
      <c r="F12" s="1"/>
      <c r="G12" s="1"/>
      <c r="H12" s="1"/>
      <c r="I12" s="1"/>
      <c r="J12" s="1"/>
      <c r="K12" s="1"/>
      <c r="L12" s="1"/>
      <c r="M12" s="1"/>
      <c r="N12" s="1"/>
      <c r="O12" s="1"/>
      <c r="P12" s="1"/>
      <c r="Q12" s="1"/>
      <c r="R12" s="1"/>
      <c r="S12" s="1"/>
      <c r="T12" s="1"/>
      <c r="U12" s="1"/>
      <c r="V12" s="1"/>
      <c r="W12" s="1"/>
      <c r="X12" s="1"/>
      <c r="Y12" s="1"/>
      <c r="Z12" s="1"/>
    </row>
    <row r="13">
      <c r="A13" s="1"/>
      <c r="B13" s="35" t="s">
        <v>31</v>
      </c>
      <c r="C13" s="35" t="s">
        <v>207</v>
      </c>
      <c r="D13" s="1"/>
      <c r="E13" s="1"/>
      <c r="F13" s="1"/>
      <c r="G13" s="1"/>
      <c r="H13" s="1"/>
      <c r="I13" s="1"/>
      <c r="J13" s="1"/>
      <c r="K13" s="1"/>
      <c r="L13" s="1"/>
      <c r="M13" s="1"/>
      <c r="N13" s="1"/>
      <c r="O13" s="1"/>
      <c r="P13" s="1"/>
      <c r="Q13" s="1"/>
      <c r="R13" s="1"/>
      <c r="S13" s="1"/>
      <c r="T13" s="1"/>
      <c r="U13" s="1"/>
      <c r="V13" s="1"/>
      <c r="W13" s="1"/>
      <c r="X13" s="1"/>
      <c r="Y13" s="1"/>
      <c r="Z13" s="1"/>
    </row>
    <row r="14">
      <c r="A14" s="1"/>
      <c r="B14" s="35" t="s">
        <v>23</v>
      </c>
      <c r="C14" s="35" t="s">
        <v>208</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