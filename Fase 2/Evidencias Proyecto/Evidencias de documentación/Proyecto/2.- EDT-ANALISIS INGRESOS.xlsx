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eECLJHANtXGihu7FeqCw0Qb0W6ZR8/I3qljBSySIJJ4="/>
    </ext>
  </extLst>
</workbook>
</file>

<file path=xl/sharedStrings.xml><?xml version="1.0" encoding="utf-8"?>
<sst xmlns="http://schemas.openxmlformats.org/spreadsheetml/2006/main" count="385" uniqueCount="188">
  <si>
    <t>EXPERIENCIA</t>
  </si>
  <si>
    <t>EDT- Planilla Estructura de Descomposición de Tareas</t>
  </si>
  <si>
    <t>ROL</t>
  </si>
  <si>
    <t>(- 2 años)</t>
  </si>
  <si>
    <t>(+2 años)</t>
  </si>
  <si>
    <t>RESPONS.</t>
  </si>
  <si>
    <t>SUELDO</t>
  </si>
  <si>
    <t>HH</t>
  </si>
  <si>
    <t>Líder de proyecto</t>
  </si>
  <si>
    <t>x</t>
  </si>
  <si>
    <t>ACTIVIDADES</t>
  </si>
  <si>
    <t>Horas por Actividad o entregable</t>
  </si>
  <si>
    <t>DICCIONARIO EDT</t>
  </si>
  <si>
    <t>Desarrollador backend</t>
  </si>
  <si>
    <t>Fase Análisis y Planificación</t>
  </si>
  <si>
    <t>Horas</t>
  </si>
  <si>
    <t>LP</t>
  </si>
  <si>
    <t>DB1</t>
  </si>
  <si>
    <t>DF1</t>
  </si>
  <si>
    <t>SM</t>
  </si>
  <si>
    <t>QA</t>
  </si>
  <si>
    <t>Desarrollador Front end</t>
  </si>
  <si>
    <t>DB2</t>
  </si>
  <si>
    <t>PO</t>
  </si>
  <si>
    <t>$1.000.000</t>
  </si>
  <si>
    <t>DB3</t>
  </si>
  <si>
    <t>$6.250</t>
  </si>
  <si>
    <t>DF2</t>
  </si>
  <si>
    <t>TOTAL POR ACTIVIDAD</t>
  </si>
  <si>
    <t>SIGLA</t>
  </si>
  <si>
    <t>Scrum master</t>
  </si>
  <si>
    <t>NOMBRE</t>
  </si>
  <si>
    <t>$1.200.000</t>
  </si>
  <si>
    <t>COSTO X HORA</t>
  </si>
  <si>
    <t>$7.500</t>
  </si>
  <si>
    <t>Visión y roles equipo</t>
  </si>
  <si>
    <t>QA Tester</t>
  </si>
  <si>
    <t>Product Owner</t>
  </si>
  <si>
    <t>$9.375</t>
  </si>
  <si>
    <t>LÍDER DE PROYECTO</t>
  </si>
  <si>
    <t>Hrs.Sem.</t>
  </si>
  <si>
    <t>BASTIAN GONZALEZ</t>
  </si>
  <si>
    <t>HRS.Mens.</t>
  </si>
  <si>
    <t>Carta Gantt</t>
  </si>
  <si>
    <t>Sueldo/160hrs</t>
  </si>
  <si>
    <t>DESARROLLADOR BACK END</t>
  </si>
  <si>
    <t>EDT</t>
  </si>
  <si>
    <t>DESARROLLADOR FRONT END</t>
  </si>
  <si>
    <t>Definición de historias de usuario</t>
  </si>
  <si>
    <t>SCRUM MASTER</t>
  </si>
  <si>
    <t>JAVIERA MATELUNA</t>
  </si>
  <si>
    <t>Reunión retrospectiva</t>
  </si>
  <si>
    <t>QA TESTER</t>
  </si>
  <si>
    <t xml:space="preserve">Fase Diseño </t>
  </si>
  <si>
    <t>DESARROLLADORA BACK END</t>
  </si>
  <si>
    <t>Documento DAS</t>
  </si>
  <si>
    <t>PRODUCT OWNER</t>
  </si>
  <si>
    <t>BENJAMÍN VASQUEZ</t>
  </si>
  <si>
    <t>Diagramas 4 +1</t>
  </si>
  <si>
    <t>Mockups plataforma  vercel</t>
  </si>
  <si>
    <t>Product Backlog</t>
  </si>
  <si>
    <t>Sprint Backlog</t>
  </si>
  <si>
    <t>COSTO POR FASE</t>
  </si>
  <si>
    <t>Fase de Desarrollo (SPRINT 1)</t>
  </si>
  <si>
    <t>Diseñar la pantalla de selección de escenarios de práctica disponibles.</t>
  </si>
  <si>
    <t>Fase de Desarrollo</t>
  </si>
  <si>
    <t>Implementar la visualización de los temas configurados por el administrador.</t>
  </si>
  <si>
    <t>Fase Implementación y Cierre</t>
  </si>
  <si>
    <t>Implementar en Backend la obtención de los escenarios asociados al cliente del usuario.</t>
  </si>
  <si>
    <t xml:space="preserve">Total </t>
  </si>
  <si>
    <t>Validar y probar la selección de un escenario de práctica.</t>
  </si>
  <si>
    <t>Diseñar pantalla de consentimiento para la grabación de audio y video.</t>
  </si>
  <si>
    <t>COSTO HH POR ROL</t>
  </si>
  <si>
    <t>Implementar la aceptación explícita del consentimiento antes de iniciar la práctica.</t>
  </si>
  <si>
    <t>Implementar en Backend el registro del consentimiento otorgado por el usuario.</t>
  </si>
  <si>
    <t>Desarrollador Backend 1</t>
  </si>
  <si>
    <t>Validar y probar que la grabación no pueda comenzar sin consentimiento.</t>
  </si>
  <si>
    <t>Desarrollador front end 1</t>
  </si>
  <si>
    <t>Diseñar pantalla de comprobación técnica de cámara, micrófono e iluminación.</t>
  </si>
  <si>
    <t>Implementar la comprobación de funcionamiento de la cámara y el micrófono.</t>
  </si>
  <si>
    <t>Desarrollador backend 2</t>
  </si>
  <si>
    <t>Implementar en Backend el registro del resultado de la comprobación técnica.</t>
  </si>
  <si>
    <t>Validar y probar que la sesión pueda comenzar solo cuando la comprobación técnica sea correcta.</t>
  </si>
  <si>
    <t>Desarrollador back end 3</t>
  </si>
  <si>
    <t>Diseñar la interfaz de la entrevista simulada.</t>
  </si>
  <si>
    <t>Desarrollador front end 2</t>
  </si>
  <si>
    <t>Implementar la interacción de preguntas y respuestas con el entrevistador de IA.</t>
  </si>
  <si>
    <t>TOTAL HH</t>
  </si>
  <si>
    <t>Implementar el procesamiento de las respuestas durante la entrevista.</t>
  </si>
  <si>
    <t>Validar y probar el funcionamiento de la entrevista simulada.</t>
  </si>
  <si>
    <t>Diseñar la interfaz para responder las preguntas del entrevistador de IA.</t>
  </si>
  <si>
    <t>Implementar la captura de las respuestas del usuario durante la simulación.</t>
  </si>
  <si>
    <t>Implementar la generación de repreguntas según las respuestas entregadas.</t>
  </si>
  <si>
    <t>Validar y probar el flujo de preguntas, respuestas y repreguntas.</t>
  </si>
  <si>
    <t>Diseñar la interfaz del informe de desempeño.</t>
  </si>
  <si>
    <t>Implementar la generación del informe al finalizar la sesión.</t>
  </si>
  <si>
    <t>Implementar la visualización de los resultados de expresión, tono de voz, coherencia y empatía.</t>
  </si>
  <si>
    <t>Validar y probar la generación y visualización del informe.</t>
  </si>
  <si>
    <t>Diseñar la interfaz para mostrar la evaluación de las cuatro áreas.</t>
  </si>
  <si>
    <t>Implementar el procesamiento de la evaluación de expresión, tono de voz, coherencia y empatía.</t>
  </si>
  <si>
    <t>Implementar la visualización de los resultados obtenidos en cada área.</t>
  </si>
  <si>
    <t>Validar y probar que los resultados de las cuatro áreas se muestren correctamente.</t>
  </si>
  <si>
    <t>Fase de Desarrollo (SPRINT 2)</t>
  </si>
  <si>
    <t>Diseñar la sección del informe donde se mostrarán las observaciones y recomendaciones.</t>
  </si>
  <si>
    <t>Implementar la generación de observaciones a partir de los resultados de la evaluación.</t>
  </si>
  <si>
    <t>Implementar la generación de recomendaciones concretas para mejorar el desempeño.</t>
  </si>
  <si>
    <t>Validar y probar que las observaciones y recomendaciones se muestren correctamente.</t>
  </si>
  <si>
    <t>Diseñar la interfaz del panel de progreso del usuario.</t>
  </si>
  <si>
    <t>Implementar el registro de los resultados obtenidos en las sesiones de práctica.</t>
  </si>
  <si>
    <t>Implementar la visualización de la evolución del desempeño a lo largo del tiempo.</t>
  </si>
  <si>
    <t>Validar y probar la consulta del progreso del usuario.</t>
  </si>
  <si>
    <t>Diseñar la sección de recomendaciones de práctica.</t>
  </si>
  <si>
    <t>Implementar la identificación de las áreas que requieren mejora.</t>
  </si>
  <si>
    <t>Implementar la generación de recomendaciones de práctica según las debilidades detectadas.</t>
  </si>
  <si>
    <t>Validar y probar que las recomendaciones correspondan a los resultados del usuario.</t>
  </si>
  <si>
    <t>Diseñar la opción para repetir un escenario de práctica.</t>
  </si>
  <si>
    <t>Implementar la selección de un escenario realizado anteriormente.</t>
  </si>
  <si>
    <t>Implementar el inicio de una nueva sesión utilizando el escenario seleccionado.</t>
  </si>
  <si>
    <t>Validar y probar la repetición de un escenario de práctica.</t>
  </si>
  <si>
    <t>Diseñar la sección de microlecciones sobre comunicación.</t>
  </si>
  <si>
    <t>Implementar la visualización de las microlecciones disponibles.</t>
  </si>
  <si>
    <t>Implementar el almacenamiento y gestión de las microlecciones.</t>
  </si>
  <si>
    <t>Validar y probar el acceso y visualización de las microlecciones.</t>
  </si>
  <si>
    <t>Diseñar la interfaz para definir el patrón maestro de evaluación.</t>
  </si>
  <si>
    <t>Implementar la configuración de los elementos que conforman el patrón maestro.</t>
  </si>
  <si>
    <t>Implementar en Backend el almacenamiento del patrón maestro de evaluación.</t>
  </si>
  <si>
    <t>Validar y probar la creación y configuración del patrón maestro.</t>
  </si>
  <si>
    <t>Fase de Desarrollo (SPRINT 3)</t>
  </si>
  <si>
    <t>Definir los criterios de las rúbricas de evaluación.</t>
  </si>
  <si>
    <t>Diseñar la estructura de las rúbricas en la base de datos.</t>
  </si>
  <si>
    <t>Desarrollar el backend para crear, editar y guardar las rúbricas.</t>
  </si>
  <si>
    <t>Realizar pruebas y validar las rúbricas de evaluación.</t>
  </si>
  <si>
    <t>Definir los criterios de evaluación para cada dimensión.</t>
  </si>
  <si>
    <t>Diseñar la estructura de los criterios en la base de datos.</t>
  </si>
  <si>
    <t>Desarrollar el backend para crear, editar y guardar los criterios.</t>
  </si>
  <si>
    <t>Realizar pruebas y validar los criterios de evaluación.</t>
  </si>
  <si>
    <t>Definir las condiciones para detectar evaluaciones de baja confianza o puntajes límite.</t>
  </si>
  <si>
    <t>Desarrollar el backend para identificar y marcar evaluaciones para revisión.</t>
  </si>
  <si>
    <t>Desarrollar Back-End  para revisar y modificar una evaluación.</t>
  </si>
  <si>
    <t>Realizar pruebas del proceso de revisión y validación de resultados.</t>
  </si>
  <si>
    <t>Definir las etiquetas y criterios para clasificar las grabaciones.</t>
  </si>
  <si>
    <t>Desarrollar el backend para registrar y almacenar las etiquetas.</t>
  </si>
  <si>
    <t>Implementar la asociación de etiquetas con las grabaciones evaluadas.</t>
  </si>
  <si>
    <t>Realizar pruebas del proceso de etiquetado y almacenamiento.</t>
  </si>
  <si>
    <t>Definir los elementos del estándar que serán comunes para todos los clientes.</t>
  </si>
  <si>
    <t>Desarrollar el backend para aplicar el patrón maestro a todos los clientes.</t>
  </si>
  <si>
    <t>Implementar la validación de que las evaluaciones utilicen el estándar común.</t>
  </si>
  <si>
    <t>Realizar pruebas con distintos clientes para verificar la aplicación del estándar.</t>
  </si>
  <si>
    <t>Diseñar formulario para crear el tema de práctica.</t>
  </si>
  <si>
    <t>Implementar los campos de contexto, mensajes clave, líneas rojas, óptica institucional y público objetivo.</t>
  </si>
  <si>
    <t>Implementar en Backend la creación y almacenamiento del tema de práctica.</t>
  </si>
  <si>
    <t>Validar y probar la creación del tema de práctica.</t>
  </si>
  <si>
    <t>Diseñar formulario para configurar el contexto del tema.</t>
  </si>
  <si>
    <t>Implementar los campos de sector, tipo de crisis y escenario.</t>
  </si>
  <si>
    <t>Implementar en Backend el almacenamiento del contexto configurado.</t>
  </si>
  <si>
    <t>Validar y probar la configuración del contexto del tema.</t>
  </si>
  <si>
    <t>Fase de Desarrollo (SPRINT 4)</t>
  </si>
  <si>
    <t>Diseñar la interfaz para definir los mensajes clave y líneas rojas.</t>
  </si>
  <si>
    <t>Implementar los campos para registrar los mensajes que se deben mantener y aquello que no se debe comunicar.</t>
  </si>
  <si>
    <t>Implementar en Backend el almacenamiento de los mensajes clave y líneas rojas del tema.</t>
  </si>
  <si>
    <t>Validar y probar la configuración de mensajes clave y líneas rojas.</t>
  </si>
  <si>
    <t>Diseñar la interfaz para configurar la óptica institucional.</t>
  </si>
  <si>
    <t>Implementar la selección del tono o posicionamiento institucional.</t>
  </si>
  <si>
    <t>Implementar en Backend el almacenamiento de la óptica institucional configurada.</t>
  </si>
  <si>
    <t>Validar y probar la configuración de la óptica institucional.</t>
  </si>
  <si>
    <t>Diseñar la interfaz para definir el público interno del tema.</t>
  </si>
  <si>
    <t>Implementar la selección del segmento de público objetivo.</t>
  </si>
  <si>
    <t>Implementar en Backend el almacenamiento del público interno asociado al tema.</t>
  </si>
  <si>
    <t>Validar y probar la configuración del público interno del tema.</t>
  </si>
  <si>
    <t>Diseñar la interfaz para configurar la política de retención.</t>
  </si>
  <si>
    <t>Implementar la configuración del tiempo de conservación de grabaciones y métricas.</t>
  </si>
  <si>
    <t>Implementar en Backend la aplicación de la política de retención configurada.</t>
  </si>
  <si>
    <t>Validar y probar la conservación y eliminación de grabaciones y métricas según la política definida.</t>
  </si>
  <si>
    <t>Diseñar la configuración de la eliminación o anonimización de las grabaciones.</t>
  </si>
  <si>
    <t>Implementar la identificación de las grabaciones que cumplen el periodo de retención.</t>
  </si>
  <si>
    <t>Implementar la eliminación o anonimización automática de las grabaciones correspondientes.</t>
  </si>
  <si>
    <t>Validar y probar que las grabaciones sean eliminadas o anonimizadas al finalizar el periodo de retención.</t>
  </si>
  <si>
    <t>Diseñar la interfaz para seleccionar qué información conservar.</t>
  </si>
  <si>
    <t>Implementar la opción de conservar el video completo o solamente las métricas derivadas.</t>
  </si>
  <si>
    <t>Implementar en Backend la aplicación de la opción seleccionada para la conservación de datos.</t>
  </si>
  <si>
    <t>Validar y probar que se conserve únicamente la información seleccionada.</t>
  </si>
  <si>
    <t>Fase de Implementación y cierre</t>
  </si>
  <si>
    <t>Migración del Sistema a Producción</t>
  </si>
  <si>
    <t>Pruebas de Integración final</t>
  </si>
  <si>
    <t>Marcha Blanca</t>
  </si>
  <si>
    <t>Capacitación</t>
  </si>
  <si>
    <t>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</si>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</sst>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* #,##0_ ;_ &quot;$&quot;* \-#,##0_ ;_ &quot;$&quot;* &quot;-&quot;_ ;_ @_ "/>
    <numFmt numFmtId="165" formatCode="[$$]#,##0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/>
    <font>
      <b/>
      <sz val="20.0"/>
      <color theme="1"/>
      <name val="Calibri"/>
    </font>
    <font>
      <b/>
      <sz val="14.0"/>
      <color theme="0"/>
      <name val="Calibri"/>
    </font>
    <font>
      <b/>
      <sz val="14.0"/>
      <color rgb="FFFF0000"/>
      <name val="Calibri"/>
    </font>
    <font>
      <b/>
      <sz val="11.0"/>
      <color rgb="FFFFFFFF"/>
      <name val="Calibri"/>
    </font>
    <font>
      <b/>
      <color rgb="FFFFFFFF"/>
      <name val="Calibri"/>
      <scheme val="minor"/>
    </font>
    <font>
      <sz val="10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0.0"/>
      <color rgb="FF000000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b/>
      <sz val="16.0"/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6AA84F"/>
        <bgColor rgb="FF6AA84F"/>
      </patternFill>
    </fill>
    <fill>
      <patternFill patternType="solid">
        <fgColor rgb="FFF2F2F2"/>
        <bgColor rgb="FFF2F2F2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BF9000"/>
        <bgColor rgb="FFBF9000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right/>
      <top/>
    </border>
    <border>
      <left/>
      <right/>
    </border>
    <border>
      <left/>
      <right/>
      <bottom/>
    </border>
    <border>
      <right/>
      <top/>
    </border>
    <border>
      <right/>
      <bottom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/>
    </xf>
    <xf borderId="5" fillId="2" fontId="6" numFmtId="0" xfId="0" applyAlignment="1" applyBorder="1" applyFill="1" applyFont="1">
      <alignment horizontal="left"/>
    </xf>
    <xf borderId="6" fillId="3" fontId="4" numFmtId="0" xfId="0" applyAlignment="1" applyBorder="1" applyFill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6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shrinkToFit="0" wrapText="1"/>
    </xf>
    <xf borderId="6" fillId="0" fontId="1" numFmtId="9" xfId="0" applyAlignment="1" applyBorder="1" applyFont="1" applyNumberFormat="1">
      <alignment horizontal="center" readingOrder="0"/>
    </xf>
    <xf borderId="6" fillId="4" fontId="7" numFmtId="0" xfId="0" applyBorder="1" applyFill="1" applyFont="1"/>
    <xf borderId="6" fillId="4" fontId="8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/>
    </xf>
    <xf borderId="6" fillId="0" fontId="1" numFmtId="164" xfId="0" applyBorder="1" applyFont="1" applyNumberFormat="1"/>
    <xf borderId="2" fillId="4" fontId="7" numFmtId="0" xfId="0" applyAlignment="1" applyBorder="1" applyFill="1" applyFont="1">
      <alignment horizontal="center" shrinkToFit="0" wrapText="1"/>
    </xf>
    <xf borderId="8" fillId="2" fontId="1" numFmtId="0" xfId="0" applyAlignment="1" applyBorder="1" applyFill="1" applyFont="1">
      <alignment shrinkToFit="0" wrapText="1"/>
    </xf>
    <xf borderId="9" fillId="2" fontId="1" numFmtId="0" xfId="0" applyAlignment="1" applyBorder="1" applyFill="1" applyFont="1">
      <alignment shrinkToFit="0" wrapText="1"/>
    </xf>
    <xf borderId="6" fillId="5" fontId="4" numFmtId="0" xfId="0" applyBorder="1" applyFill="1" applyFont="1"/>
    <xf borderId="6" fillId="5" fontId="9" numFmtId="0" xfId="0" applyAlignment="1" applyBorder="1" applyFill="1" applyFont="1">
      <alignment horizontal="center" readingOrder="0"/>
    </xf>
    <xf borderId="6" fillId="5" fontId="9" numFmtId="0" xfId="0" applyAlignment="1" applyBorder="1" applyFill="1" applyFont="1">
      <alignment readingOrder="0"/>
    </xf>
    <xf borderId="6" fillId="0" fontId="1" numFmtId="4" xfId="0" applyAlignment="1" applyBorder="1" applyFont="1" applyNumberFormat="1">
      <alignment readingOrder="0"/>
    </xf>
    <xf borderId="6" fillId="5" fontId="10" numFmtId="0" xfId="0" applyAlignment="1" applyBorder="1" applyFill="1" applyFont="1">
      <alignment readingOrder="0"/>
    </xf>
    <xf borderId="6" fillId="0" fontId="1" numFmtId="4" xfId="0" applyAlignment="1" applyBorder="1" applyFont="1" applyNumberFormat="1">
      <alignment horizontal="right" readingOrder="0" shrinkToFit="0" vertical="bottom" wrapText="0"/>
    </xf>
    <xf borderId="6" fillId="3" fontId="4" numFmtId="0" xfId="0" applyAlignment="1" applyBorder="1" applyFill="1" applyFont="1">
      <alignment shrinkToFit="0" wrapText="1"/>
    </xf>
    <xf borderId="2" fillId="3" fontId="4" numFmtId="0" xfId="0" applyAlignment="1" applyBorder="1" applyFill="1" applyFont="1">
      <alignment shrinkToFit="0" wrapText="1"/>
    </xf>
    <xf borderId="6" fillId="0" fontId="1" numFmtId="164" xfId="0" applyAlignment="1" applyBorder="1" applyFont="1" applyNumberFormat="1">
      <alignment readingOrder="0"/>
    </xf>
    <xf borderId="6" fillId="3" fontId="10" numFmtId="0" xfId="0" applyAlignment="1" applyBorder="1" applyFill="1" applyFont="1">
      <alignment readingOrder="0" shrinkToFit="0" wrapText="1"/>
    </xf>
    <xf borderId="6" fillId="0" fontId="1" numFmtId="164" xfId="0" applyAlignment="1" applyBorder="1" applyFont="1" applyNumberFormat="1">
      <alignment horizontal="right" readingOrder="0"/>
    </xf>
    <xf borderId="6" fillId="6" fontId="11" numFmtId="0" xfId="0" applyAlignment="1" applyBorder="1" applyFill="1" applyFont="1">
      <alignment readingOrder="0" vertical="center"/>
    </xf>
    <xf borderId="6" fillId="2" fontId="12" numFmtId="0" xfId="0" applyAlignment="1" applyBorder="1" applyFill="1" applyFont="1">
      <alignment horizontal="center" readingOrder="0"/>
    </xf>
    <xf borderId="6" fillId="2" fontId="1" numFmtId="0" xfId="0" applyAlignment="1" applyBorder="1" applyFill="1" applyFont="1">
      <alignment horizontal="center" readingOrder="0"/>
    </xf>
    <xf borderId="6" fillId="2" fontId="1" numFmtId="0" xfId="0" applyAlignment="1" applyBorder="1" applyFill="1" applyFont="1">
      <alignment horizontal="center"/>
    </xf>
    <xf borderId="6" fillId="2" fontId="1" numFmtId="0" xfId="0" applyAlignment="1" applyBorder="1" applyFill="1" applyFont="1">
      <alignment readingOrder="0"/>
    </xf>
    <xf borderId="6" fillId="0" fontId="13" numFmtId="0" xfId="0" applyBorder="1" applyFont="1"/>
    <xf borderId="6" fillId="0" fontId="13" numFmtId="165" xfId="0" applyAlignment="1" applyBorder="1" applyFont="1" applyNumberFormat="1">
      <alignment readingOrder="0"/>
    </xf>
    <xf borderId="6" fillId="2" fontId="1" numFmtId="0" xfId="0" applyAlignment="1" applyBorder="1" applyFill="1" applyFont="1">
      <alignment readingOrder="0" shrinkToFit="0" vertical="center" wrapText="1"/>
    </xf>
    <xf borderId="0" fillId="0" fontId="13" numFmtId="0" xfId="0" applyFont="1"/>
    <xf borderId="6" fillId="2" fontId="1" numFmtId="164" xfId="0" applyBorder="1" applyFill="1" applyFont="1" applyNumberFormat="1"/>
    <xf borderId="0" fillId="0" fontId="13" numFmtId="0" xfId="0" applyAlignment="1" applyFont="1">
      <alignment readingOrder="0"/>
    </xf>
    <xf borderId="6" fillId="0" fontId="1" numFmtId="165" xfId="0" applyAlignment="1" applyBorder="1" applyFont="1" applyNumberFormat="1">
      <alignment readingOrder="0"/>
    </xf>
    <xf borderId="0" fillId="0" fontId="4" numFmtId="0" xfId="0" applyFont="1"/>
    <xf borderId="0" fillId="0" fontId="14" numFmtId="0" xfId="0" applyFont="1"/>
    <xf borderId="0" fillId="0" fontId="1" numFmtId="164" xfId="0" applyFont="1" applyNumberFormat="1"/>
    <xf borderId="1" fillId="6" fontId="11" numFmtId="0" xfId="0" applyAlignment="1" applyBorder="1" applyFill="1" applyFont="1">
      <alignment readingOrder="0"/>
    </xf>
    <xf borderId="6" fillId="7" fontId="4" numFmtId="0" xfId="0" applyBorder="1" applyFill="1" applyFont="1"/>
    <xf borderId="6" fillId="7" fontId="9" numFmtId="0" xfId="0" applyAlignment="1" applyBorder="1" applyFill="1" applyFont="1">
      <alignment horizontal="center" readingOrder="0"/>
    </xf>
    <xf borderId="6" fillId="7" fontId="9" numFmtId="0" xfId="0" applyAlignment="1" applyBorder="1" applyFill="1" applyFont="1">
      <alignment readingOrder="0"/>
    </xf>
    <xf borderId="6" fillId="7" fontId="10" numFmtId="0" xfId="0" applyAlignment="1" applyBorder="1" applyFill="1" applyFont="1">
      <alignment readingOrder="0"/>
    </xf>
    <xf borderId="0" fillId="6" fontId="11" numFmtId="0" xfId="0" applyAlignment="1" applyFill="1" applyFont="1">
      <alignment readingOrder="0"/>
    </xf>
    <xf borderId="6" fillId="0" fontId="13" numFmtId="165" xfId="0" applyBorder="1" applyFont="1" applyNumberFormat="1"/>
    <xf borderId="6" fillId="2" fontId="1" numFmtId="0" xfId="0" applyAlignment="1" applyBorder="1" applyFill="1" applyFont="1">
      <alignment readingOrder="0" shrinkToFit="0" wrapText="1"/>
    </xf>
    <xf borderId="6" fillId="2" fontId="1" numFmtId="0" xfId="0" applyBorder="1" applyFill="1" applyFont="1"/>
    <xf borderId="6" fillId="6" fontId="11" numFmtId="0" xfId="0" applyAlignment="1" applyBorder="1" applyFill="1" applyFont="1">
      <alignment readingOrder="0"/>
    </xf>
    <xf borderId="6" fillId="0" fontId="13" numFmtId="0" xfId="0" applyAlignment="1" applyBorder="1" applyFont="1">
      <alignment readingOrder="0"/>
    </xf>
    <xf borderId="6" fillId="6" fontId="15" numFmtId="0" xfId="0" applyAlignment="1" applyBorder="1" applyFill="1" applyFont="1">
      <alignment readingOrder="0" vertical="center"/>
    </xf>
    <xf borderId="2" fillId="3" fontId="4" numFmtId="0" xfId="0" applyAlignment="1" applyBorder="1" applyFill="1" applyFont="1">
      <alignment horizontal="left"/>
    </xf>
    <xf borderId="6" fillId="6" fontId="15" numFmtId="0" xfId="0" applyAlignment="1" applyBorder="1" applyFill="1" applyFont="1">
      <alignment vertical="center"/>
    </xf>
    <xf borderId="6" fillId="2" fontId="2" numFmtId="0" xfId="0" applyAlignment="1" applyBorder="1" applyFill="1" applyFont="1">
      <alignment horizontal="center"/>
    </xf>
    <xf borderId="8" fillId="2" fontId="1" numFmtId="0" xfId="0" applyBorder="1" applyFill="1" applyFont="1"/>
    <xf borderId="6" fillId="2" fontId="14" numFmtId="0" xfId="0" applyBorder="1" applyFill="1" applyFont="1"/>
    <xf borderId="6" fillId="3" fontId="9" numFmtId="0" xfId="0" applyAlignment="1" applyBorder="1" applyFill="1" applyFont="1">
      <alignment horizontal="left" readingOrder="0" vertical="center"/>
    </xf>
    <xf borderId="6" fillId="3" fontId="9" numFmtId="0" xfId="0" applyAlignment="1" applyBorder="1" applyFill="1" applyFont="1">
      <alignment horizontal="center" readingOrder="0"/>
    </xf>
    <xf borderId="6" fillId="8" fontId="1" numFmtId="0" xfId="0" applyAlignment="1" applyBorder="1" applyFill="1" applyFont="1">
      <alignment shrinkToFit="0" vertical="top" wrapText="1"/>
    </xf>
    <xf borderId="6" fillId="2" fontId="14" numFmtId="0" xfId="0" applyAlignment="1" applyBorder="1" applyFill="1" applyFont="1">
      <alignment horizontal="left" vertical="center"/>
    </xf>
    <xf borderId="6" fillId="2" fontId="14" numFmtId="0" xfId="0" applyAlignment="1" applyBorder="1" applyFill="1" applyFont="1">
      <alignment shrinkToFit="0" wrapText="1"/>
    </xf>
    <xf borderId="6" fillId="9" fontId="16" numFmtId="0" xfId="0" applyAlignment="1" applyBorder="1" applyFill="1" applyFont="1">
      <alignment readingOrder="0"/>
    </xf>
    <xf borderId="6" fillId="2" fontId="16" numFmtId="164" xfId="0" applyBorder="1" applyFill="1" applyFont="1" applyNumberFormat="1"/>
    <xf borderId="9" fillId="2" fontId="1" numFmtId="0" xfId="0" applyBorder="1" applyFill="1" applyFont="1"/>
    <xf borderId="6" fillId="0" fontId="1" numFmtId="0" xfId="0" applyAlignment="1" applyBorder="1" applyFont="1">
      <alignment shrinkToFit="0" vertical="bottom" wrapText="1"/>
    </xf>
    <xf borderId="6" fillId="3" fontId="9" numFmtId="0" xfId="0" applyAlignment="1" applyBorder="1" applyFill="1" applyFont="1">
      <alignment readingOrder="0"/>
    </xf>
    <xf borderId="0" fillId="0" fontId="1" numFmtId="0" xfId="0" applyAlignment="1" applyFont="1">
      <alignment shrinkToFit="0" vertical="bottom" wrapText="1"/>
    </xf>
    <xf borderId="6" fillId="2" fontId="1" numFmtId="165" xfId="0" applyBorder="1" applyFill="1" applyFont="1" applyNumberFormat="1"/>
    <xf borderId="0" fillId="0" fontId="1" numFmtId="0" xfId="0" applyAlignment="1" applyFont="1">
      <alignment shrinkToFit="0" wrapText="1"/>
    </xf>
    <xf borderId="6" fillId="8" fontId="1" numFmtId="0" xfId="0" applyAlignment="1" applyBorder="1" applyFill="1" applyFont="1">
      <alignment shrinkToFit="0" wrapText="1"/>
    </xf>
    <xf borderId="6" fillId="0" fontId="1" numFmtId="0" xfId="0" applyAlignment="1" applyBorder="1" applyFont="1">
      <alignment shrinkToFit="0" wrapText="1"/>
    </xf>
    <xf borderId="6" fillId="9" fontId="16" numFmtId="0" xfId="0" applyBorder="1" applyFill="1" applyFont="1"/>
    <xf borderId="0" fillId="2" fontId="14" numFmtId="0" xfId="0" applyFill="1" applyFont="1"/>
    <xf borderId="0" fillId="2" fontId="1" numFmtId="164" xfId="0" applyFill="1" applyFont="1" applyNumberFormat="1"/>
    <xf borderId="6" fillId="8" fontId="14" numFmtId="0" xfId="0" applyAlignment="1" applyBorder="1" applyFill="1" applyFont="1">
      <alignment horizontal="center" shrinkToFit="0" vertical="center" wrapText="1"/>
    </xf>
    <xf borderId="10" fillId="2" fontId="1" numFmtId="0" xfId="0" applyBorder="1" applyFill="1" applyFont="1"/>
    <xf borderId="11" fillId="2" fontId="1" numFmtId="0" xfId="0" applyBorder="1" applyFill="1" applyFont="1"/>
    <xf borderId="6" fillId="8" fontId="1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/>
    </xf>
    <xf borderId="0" fillId="0" fontId="1" numFmtId="0" xfId="0" applyFont="1"/>
    <xf borderId="12" fillId="2" fontId="1" numFmtId="0" xfId="0" applyBorder="1" applyFill="1" applyFont="1"/>
    <xf borderId="6" fillId="8" fontId="1" numFmtId="0" xfId="0" applyAlignment="1" applyBorder="1" applyFill="1" applyFont="1">
      <alignment shrinkToFit="0" wrapText="1"/>
    </xf>
    <xf borderId="6" fillId="8" fontId="14" numFmtId="0" xfId="0" applyAlignment="1" applyBorder="1" applyFill="1" applyFont="1">
      <alignment horizontal="center" shrinkToFit="0" vertical="center" wrapText="1"/>
    </xf>
    <xf borderId="0" fillId="0" fontId="16" numFmtId="0" xfId="0" applyFont="1"/>
    <xf borderId="6" fillId="0" fontId="1" numFmtId="165" xfId="0" applyBorder="1" applyFont="1" applyNumberFormat="1"/>
    <xf borderId="0" fillId="0" fontId="14" numFmtId="0" xfId="0" applyAlignment="1" applyFont="1">
      <alignment horizontal="left" vertical="center"/>
    </xf>
    <xf borderId="6" fillId="10" fontId="9" numFmtId="0" xfId="0" applyAlignment="1" applyBorder="1" applyFill="1" applyFont="1">
      <alignment horizontal="left" readingOrder="0" vertical="center"/>
    </xf>
    <xf borderId="6" fillId="10" fontId="9" numFmtId="0" xfId="0" applyAlignment="1" applyBorder="1" applyFill="1" applyFont="1">
      <alignment horizontal="center" readingOrder="0"/>
    </xf>
    <xf borderId="1" fillId="0" fontId="1" numFmtId="0" xfId="0" applyBorder="1" applyFont="1"/>
    <xf borderId="6" fillId="8" fontId="1" numFmtId="0" xfId="0" applyAlignment="1" applyBorder="1" applyFill="1" applyFont="1">
      <alignment shrinkToFit="0" vertical="top" wrapText="1"/>
    </xf>
    <xf borderId="6" fillId="2" fontId="1" numFmtId="0" xfId="0" applyAlignment="1" applyBorder="1" applyFill="1" applyFont="1">
      <alignment vertical="center"/>
    </xf>
    <xf borderId="6" fillId="2" fontId="1" numFmtId="0" xfId="0" applyAlignment="1" applyBorder="1" applyFill="1" applyFont="1">
      <alignment readingOrder="0" vertical="bottom"/>
    </xf>
    <xf borderId="6" fillId="0" fontId="1" numFmtId="165" xfId="0" applyAlignment="1" applyBorder="1" applyFont="1" applyNumberFormat="1">
      <alignment vertical="center"/>
    </xf>
    <xf borderId="1" fillId="2" fontId="1" numFmtId="0" xfId="0" applyAlignment="1" applyBorder="1" applyFill="1" applyFont="1">
      <alignment vertical="center"/>
    </xf>
    <xf borderId="13" fillId="2" fontId="1" numFmtId="0" xfId="0" applyBorder="1" applyFill="1" applyFont="1"/>
    <xf borderId="6" fillId="10" fontId="9" numFmtId="0" xfId="0" applyAlignment="1" applyBorder="1" applyFill="1" applyFont="1">
      <alignment horizontal="center" readingOrder="0" vertical="center"/>
    </xf>
    <xf borderId="6" fillId="2" fontId="1" numFmtId="165" xfId="0" applyAlignment="1" applyBorder="1" applyFill="1" applyFont="1" applyNumberFormat="1">
      <alignment readingOrder="0"/>
    </xf>
    <xf borderId="6" fillId="11" fontId="9" numFmtId="0" xfId="0" applyAlignment="1" applyBorder="1" applyFill="1" applyFont="1">
      <alignment horizontal="left" readingOrder="0" vertical="center"/>
    </xf>
    <xf borderId="6" fillId="11" fontId="9" numFmtId="0" xfId="0" applyAlignment="1" applyBorder="1" applyFill="1" applyFont="1">
      <alignment horizontal="center" readingOrder="0" vertical="center"/>
    </xf>
    <xf borderId="6" fillId="11" fontId="9" numFmtId="0" xfId="0" applyAlignment="1" applyBorder="1" applyFill="1" applyFont="1">
      <alignment horizontal="center" readingOrder="0"/>
    </xf>
    <xf borderId="6" fillId="12" fontId="9" numFmtId="0" xfId="0" applyAlignment="1" applyBorder="1" applyFill="1" applyFont="1">
      <alignment horizontal="left" readingOrder="0" vertical="center"/>
    </xf>
    <xf borderId="6" fillId="12" fontId="9" numFmtId="0" xfId="0" applyAlignment="1" applyBorder="1" applyFill="1" applyFont="1">
      <alignment horizontal="center" readingOrder="0" vertical="center"/>
    </xf>
    <xf borderId="6" fillId="12" fontId="9" numFmtId="0" xfId="0" applyAlignment="1" applyBorder="1" applyFill="1" applyFont="1">
      <alignment horizontal="center" readingOrder="0"/>
    </xf>
    <xf borderId="6" fillId="13" fontId="9" numFmtId="0" xfId="0" applyAlignment="1" applyBorder="1" applyFill="1" applyFont="1">
      <alignment horizontal="left" readingOrder="0" vertical="center"/>
    </xf>
    <xf borderId="6" fillId="13" fontId="9" numFmtId="0" xfId="0" applyAlignment="1" applyBorder="1" applyFill="1" applyFont="1">
      <alignment horizontal="center" readingOrder="0" vertical="center"/>
    </xf>
    <xf borderId="6" fillId="13" fontId="9" numFmtId="0" xfId="0" applyAlignment="1" applyBorder="1" applyFill="1" applyFont="1">
      <alignment horizontal="center" readingOrder="0"/>
    </xf>
    <xf borderId="6" fillId="0" fontId="11" numFmtId="0" xfId="0" applyBorder="1" applyFont="1"/>
    <xf borderId="6" fillId="2" fontId="12" numFmtId="0" xfId="0" applyAlignment="1" applyBorder="1" applyFill="1" applyFont="1">
      <alignment horizontal="center" readingOrder="0" vertical="center"/>
    </xf>
    <xf borderId="6" fillId="0" fontId="11" numFmtId="0" xfId="0" applyAlignment="1" applyBorder="1" applyFont="1">
      <alignment vertical="center"/>
    </xf>
    <xf borderId="6" fillId="0" fontId="17" numFmtId="0" xfId="0" applyBorder="1" applyFont="1"/>
    <xf borderId="6" fillId="14" fontId="18" numFmtId="0" xfId="0" applyBorder="1" applyFill="1" applyFont="1"/>
    <xf borderId="6" fillId="14" fontId="9" numFmtId="0" xfId="0" applyAlignment="1" applyBorder="1" applyFill="1" applyFont="1">
      <alignment horizontal="center" readingOrder="0" vertical="center"/>
    </xf>
    <xf borderId="6" fillId="14" fontId="9" numFmtId="0" xfId="0" applyAlignment="1" applyBorder="1" applyFill="1" applyFont="1">
      <alignment horizontal="center" readingOrder="0"/>
    </xf>
    <xf borderId="6" fillId="14" fontId="9" numFmtId="0" xfId="0" applyAlignment="1" applyBorder="1" applyFill="1" applyFont="1">
      <alignment readingOrder="0"/>
    </xf>
    <xf borderId="6" fillId="14" fontId="1" numFmtId="0" xfId="0" applyBorder="1" applyFill="1" applyFont="1"/>
    <xf borderId="6" fillId="15" fontId="7" numFmtId="0" xfId="0" applyAlignment="1" applyBorder="1" applyFill="1" applyFont="1">
      <alignment vertical="center"/>
    </xf>
    <xf borderId="6" fillId="15" fontId="19" numFmtId="0" xfId="0" applyAlignment="1" applyBorder="1" applyFill="1" applyFont="1">
      <alignment horizontal="center" vertical="center"/>
    </xf>
    <xf borderId="6" fillId="15" fontId="19" numFmtId="0" xfId="0" applyBorder="1" applyFill="1" applyFont="1"/>
    <xf borderId="6" fillId="15" fontId="1" numFmtId="165" xfId="0" applyBorder="1" applyFill="1" applyFont="1" applyNumberFormat="1"/>
    <xf borderId="11" fillId="2" fontId="2" numFmtId="0" xfId="0" applyAlignment="1" applyBorder="1" applyFill="1" applyFont="1">
      <alignment horizontal="center"/>
    </xf>
    <xf borderId="1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2.57"/>
    <col customWidth="1" min="14" max="14" width="25.86"/>
    <col customWidth="1" min="15" max="15" width="15.57"/>
    <col customWidth="1" min="16" max="26" width="11.43"/>
  </cols>
  <sheetData>
    <row r="1" ht="14.25" customHeight="1">
      <c r="A1" s="1"/>
      <c r="B1" s="3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0" t="s">
        <v>1</v>
      </c>
      <c r="B2" s="12"/>
      <c r="C2" s="12"/>
      <c r="D2" s="12"/>
      <c r="E2" s="12"/>
      <c r="F2" s="12"/>
      <c r="G2" s="12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B3" s="15"/>
      <c r="C3" s="16"/>
      <c r="D3" s="16"/>
      <c r="E3" s="16"/>
      <c r="F3" s="16"/>
      <c r="G3" s="16"/>
      <c r="H3" s="16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7.25" customHeight="1">
      <c r="A4" s="21" t="s">
        <v>10</v>
      </c>
      <c r="B4" s="22"/>
      <c r="C4" s="23" t="s">
        <v>11</v>
      </c>
      <c r="D4" s="7"/>
      <c r="E4" s="7"/>
      <c r="F4" s="7"/>
      <c r="G4" s="7"/>
      <c r="H4" s="7"/>
      <c r="I4" s="7"/>
      <c r="J4" s="7"/>
      <c r="K4" s="7"/>
      <c r="L4" s="8"/>
      <c r="N4" s="25" t="s">
        <v>12</v>
      </c>
      <c r="O4" s="7"/>
      <c r="P4" s="8"/>
      <c r="Q4" s="26"/>
      <c r="R4" s="27"/>
      <c r="S4" s="27"/>
      <c r="T4" s="19"/>
      <c r="U4" s="19"/>
      <c r="V4" s="19"/>
      <c r="W4" s="19"/>
      <c r="X4" s="19"/>
      <c r="Y4" s="19"/>
      <c r="Z4" s="19"/>
    </row>
    <row r="5" ht="14.25" customHeight="1">
      <c r="A5" s="28" t="s">
        <v>14</v>
      </c>
      <c r="B5" s="29" t="s">
        <v>15</v>
      </c>
      <c r="C5" s="29" t="s">
        <v>16</v>
      </c>
      <c r="D5" s="29" t="s">
        <v>17</v>
      </c>
      <c r="E5" s="29" t="s">
        <v>18</v>
      </c>
      <c r="F5" s="29" t="s">
        <v>19</v>
      </c>
      <c r="G5" s="29" t="s">
        <v>20</v>
      </c>
      <c r="H5" s="29" t="s">
        <v>22</v>
      </c>
      <c r="I5" s="30" t="s">
        <v>23</v>
      </c>
      <c r="J5" s="32" t="s">
        <v>25</v>
      </c>
      <c r="K5" s="32" t="s">
        <v>27</v>
      </c>
      <c r="L5" s="32" t="s">
        <v>28</v>
      </c>
      <c r="N5" s="34" t="s">
        <v>29</v>
      </c>
      <c r="O5" s="34" t="s">
        <v>2</v>
      </c>
      <c r="P5" s="35" t="s">
        <v>31</v>
      </c>
      <c r="Q5" s="8"/>
      <c r="R5" s="37" t="s">
        <v>33</v>
      </c>
      <c r="U5" s="1"/>
      <c r="V5" s="1"/>
      <c r="W5" s="1"/>
      <c r="X5" s="1"/>
      <c r="Y5" s="1"/>
      <c r="Z5" s="1"/>
    </row>
    <row r="6" ht="14.25" customHeight="1" outlineLevel="1">
      <c r="A6" s="39" t="s">
        <v>35</v>
      </c>
      <c r="B6" s="40">
        <v>3.0</v>
      </c>
      <c r="C6" s="41">
        <v>1.0</v>
      </c>
      <c r="D6" s="42"/>
      <c r="E6" s="42"/>
      <c r="F6" s="41">
        <v>1.0</v>
      </c>
      <c r="G6" s="42"/>
      <c r="H6" s="42"/>
      <c r="I6" s="43">
        <v>1.0</v>
      </c>
      <c r="J6" s="44"/>
      <c r="K6" s="44"/>
      <c r="L6" s="45">
        <v>25000.0</v>
      </c>
      <c r="N6" s="43" t="s">
        <v>16</v>
      </c>
      <c r="O6" s="46" t="s">
        <v>39</v>
      </c>
      <c r="P6" s="43" t="s">
        <v>41</v>
      </c>
      <c r="Q6" s="48"/>
      <c r="R6" s="50">
        <v>8125.0</v>
      </c>
      <c r="U6" s="1"/>
      <c r="V6" s="1"/>
      <c r="W6" s="1"/>
      <c r="X6" s="1"/>
      <c r="Y6" s="1"/>
      <c r="Z6" s="1"/>
    </row>
    <row r="7" ht="14.25" customHeight="1" outlineLevel="1">
      <c r="A7" s="39" t="s">
        <v>43</v>
      </c>
      <c r="B7" s="40">
        <v>6.0</v>
      </c>
      <c r="C7" s="41">
        <v>2.0</v>
      </c>
      <c r="D7" s="42"/>
      <c r="E7" s="42"/>
      <c r="F7" s="41">
        <v>2.0</v>
      </c>
      <c r="G7" s="42"/>
      <c r="H7" s="42"/>
      <c r="I7" s="43">
        <v>2.0</v>
      </c>
      <c r="J7" s="44"/>
      <c r="K7" s="44"/>
      <c r="L7" s="45">
        <v>50000.0</v>
      </c>
      <c r="N7" s="43" t="s">
        <v>17</v>
      </c>
      <c r="O7" s="46" t="s">
        <v>45</v>
      </c>
      <c r="P7" s="43" t="s">
        <v>41</v>
      </c>
      <c r="Q7" s="48"/>
      <c r="R7" s="45">
        <v>7500.0</v>
      </c>
      <c r="U7" s="1"/>
      <c r="V7" s="1"/>
      <c r="W7" s="1"/>
      <c r="X7" s="1"/>
      <c r="Y7" s="1"/>
      <c r="Z7" s="1"/>
    </row>
    <row r="8" ht="14.25" customHeight="1" outlineLevel="1">
      <c r="A8" s="39" t="s">
        <v>46</v>
      </c>
      <c r="B8" s="40">
        <v>4.0</v>
      </c>
      <c r="C8" s="41">
        <v>1.0</v>
      </c>
      <c r="D8" s="42"/>
      <c r="E8" s="42"/>
      <c r="F8" s="41">
        <v>1.0</v>
      </c>
      <c r="G8" s="42"/>
      <c r="H8" s="42"/>
      <c r="I8" s="43">
        <v>1.0</v>
      </c>
      <c r="J8" s="44"/>
      <c r="K8" s="44"/>
      <c r="L8" s="45">
        <v>25000.0</v>
      </c>
      <c r="N8" s="43" t="s">
        <v>18</v>
      </c>
      <c r="O8" s="46" t="s">
        <v>47</v>
      </c>
      <c r="P8" s="43" t="s">
        <v>41</v>
      </c>
      <c r="Q8" s="48"/>
      <c r="R8" s="45">
        <v>6250.0</v>
      </c>
      <c r="U8" s="1"/>
      <c r="V8" s="1"/>
      <c r="W8" s="1"/>
      <c r="X8" s="1"/>
      <c r="Y8" s="1"/>
      <c r="Z8" s="1"/>
    </row>
    <row r="9" ht="14.25" customHeight="1" outlineLevel="1">
      <c r="A9" s="54" t="s">
        <v>48</v>
      </c>
      <c r="B9" s="40">
        <v>6.0</v>
      </c>
      <c r="C9" s="41">
        <v>2.0</v>
      </c>
      <c r="D9" s="42"/>
      <c r="E9" s="42"/>
      <c r="F9" s="41">
        <v>2.0</v>
      </c>
      <c r="G9" s="42"/>
      <c r="H9" s="42"/>
      <c r="I9" s="43">
        <v>2.0</v>
      </c>
      <c r="J9" s="44"/>
      <c r="K9" s="44"/>
      <c r="L9" s="45">
        <v>50000.0</v>
      </c>
      <c r="N9" s="43" t="s">
        <v>19</v>
      </c>
      <c r="O9" s="46" t="s">
        <v>49</v>
      </c>
      <c r="P9" s="43" t="s">
        <v>50</v>
      </c>
      <c r="Q9" s="48"/>
      <c r="R9" s="45">
        <v>7500.0</v>
      </c>
      <c r="U9" s="1"/>
      <c r="V9" s="1"/>
      <c r="W9" s="1"/>
      <c r="X9" s="1"/>
      <c r="Y9" s="1"/>
      <c r="Z9" s="1"/>
    </row>
    <row r="10" ht="14.25" customHeight="1" outlineLevel="1">
      <c r="A10" s="39" t="s">
        <v>51</v>
      </c>
      <c r="B10" s="40">
        <v>3.0</v>
      </c>
      <c r="C10" s="41">
        <v>1.0</v>
      </c>
      <c r="D10" s="42"/>
      <c r="E10" s="42"/>
      <c r="F10" s="41">
        <v>1.0</v>
      </c>
      <c r="G10" s="42"/>
      <c r="H10" s="42"/>
      <c r="I10" s="43">
        <v>1.0</v>
      </c>
      <c r="J10" s="44"/>
      <c r="K10" s="44"/>
      <c r="L10" s="45">
        <v>25000.0</v>
      </c>
      <c r="N10" s="43" t="s">
        <v>20</v>
      </c>
      <c r="O10" s="46" t="s">
        <v>52</v>
      </c>
      <c r="P10" s="43" t="s">
        <v>50</v>
      </c>
      <c r="Q10" s="48"/>
      <c r="R10" s="45">
        <v>6250.0</v>
      </c>
      <c r="U10" s="1"/>
      <c r="V10" s="1"/>
      <c r="W10" s="1"/>
      <c r="X10" s="1"/>
      <c r="Y10" s="1"/>
      <c r="Z10" s="1"/>
    </row>
    <row r="11" ht="14.25" customHeight="1">
      <c r="A11" s="55" t="s">
        <v>53</v>
      </c>
      <c r="B11" s="56" t="s">
        <v>15</v>
      </c>
      <c r="C11" s="56" t="s">
        <v>16</v>
      </c>
      <c r="D11" s="56" t="s">
        <v>17</v>
      </c>
      <c r="E11" s="56" t="s">
        <v>18</v>
      </c>
      <c r="F11" s="56" t="s">
        <v>19</v>
      </c>
      <c r="G11" s="56" t="s">
        <v>20</v>
      </c>
      <c r="H11" s="56" t="s">
        <v>22</v>
      </c>
      <c r="I11" s="57" t="s">
        <v>23</v>
      </c>
      <c r="J11" s="58" t="s">
        <v>25</v>
      </c>
      <c r="K11" s="58" t="s">
        <v>27</v>
      </c>
      <c r="L11" s="58" t="s">
        <v>28</v>
      </c>
      <c r="N11" s="43" t="s">
        <v>22</v>
      </c>
      <c r="O11" s="46" t="s">
        <v>54</v>
      </c>
      <c r="P11" s="43" t="s">
        <v>50</v>
      </c>
      <c r="Q11" s="48"/>
      <c r="R11" s="45">
        <v>7500.0</v>
      </c>
      <c r="U11" s="1"/>
      <c r="V11" s="1"/>
      <c r="W11" s="1"/>
      <c r="X11" s="1"/>
      <c r="Y11" s="1"/>
      <c r="Z11" s="1"/>
    </row>
    <row r="12" ht="14.25" customHeight="1" outlineLevel="1">
      <c r="A12" s="59" t="s">
        <v>55</v>
      </c>
      <c r="B12" s="40">
        <v>6.0</v>
      </c>
      <c r="C12" s="41">
        <v>1.0</v>
      </c>
      <c r="D12" s="42"/>
      <c r="E12" s="42"/>
      <c r="F12" s="41">
        <v>3.0</v>
      </c>
      <c r="G12" s="42"/>
      <c r="H12" s="42"/>
      <c r="I12" s="43">
        <v>2.0</v>
      </c>
      <c r="J12" s="44"/>
      <c r="K12" s="44"/>
      <c r="L12" s="60">
        <f>(C12*R6)+(F12*R9)+(I12*R12)</f>
        <v>49375</v>
      </c>
      <c r="N12" s="43" t="s">
        <v>23</v>
      </c>
      <c r="O12" s="61" t="s">
        <v>56</v>
      </c>
      <c r="P12" s="43" t="s">
        <v>57</v>
      </c>
      <c r="Q12" s="62"/>
      <c r="R12" s="45">
        <v>9375.0</v>
      </c>
      <c r="U12" s="1"/>
      <c r="V12" s="1"/>
      <c r="W12" s="1"/>
      <c r="X12" s="1"/>
      <c r="Y12" s="1"/>
      <c r="Z12" s="1"/>
    </row>
    <row r="13" ht="14.25" customHeight="1" outlineLevel="1">
      <c r="A13" s="63" t="s">
        <v>58</v>
      </c>
      <c r="B13" s="40">
        <v>6.0</v>
      </c>
      <c r="C13" s="42"/>
      <c r="D13" s="42"/>
      <c r="E13" s="41">
        <v>3.0</v>
      </c>
      <c r="F13" s="42"/>
      <c r="G13" s="42"/>
      <c r="H13" s="42"/>
      <c r="I13" s="62"/>
      <c r="J13" s="44"/>
      <c r="K13" s="64">
        <v>3.0</v>
      </c>
      <c r="L13" s="60">
        <f>(E13*R8)+(K13*R14)</f>
        <v>37500</v>
      </c>
      <c r="N13" s="43" t="s">
        <v>25</v>
      </c>
      <c r="O13" s="46" t="s">
        <v>45</v>
      </c>
      <c r="P13" s="43" t="s">
        <v>57</v>
      </c>
      <c r="Q13" s="62"/>
      <c r="R13" s="45">
        <v>7500.0</v>
      </c>
      <c r="U13" s="1"/>
      <c r="V13" s="1"/>
      <c r="W13" s="1"/>
      <c r="X13" s="1"/>
      <c r="Y13" s="1"/>
      <c r="Z13" s="1"/>
    </row>
    <row r="14" ht="14.25" customHeight="1" outlineLevel="1">
      <c r="A14" s="65" t="s">
        <v>59</v>
      </c>
      <c r="B14" s="40">
        <v>2.0</v>
      </c>
      <c r="C14" s="42"/>
      <c r="D14" s="42"/>
      <c r="E14" s="41">
        <v>1.0</v>
      </c>
      <c r="F14" s="42"/>
      <c r="G14" s="42"/>
      <c r="H14" s="42"/>
      <c r="I14" s="62"/>
      <c r="J14" s="44"/>
      <c r="K14" s="64">
        <v>1.0</v>
      </c>
      <c r="L14" s="60">
        <f>SUM(R8+R14)</f>
        <v>12500</v>
      </c>
      <c r="N14" s="43" t="s">
        <v>27</v>
      </c>
      <c r="O14" s="61" t="s">
        <v>47</v>
      </c>
      <c r="P14" s="43" t="s">
        <v>57</v>
      </c>
      <c r="Q14" s="62"/>
      <c r="R14" s="45">
        <v>6250.0</v>
      </c>
      <c r="U14" s="1"/>
      <c r="V14" s="1"/>
      <c r="W14" s="1"/>
      <c r="X14" s="1"/>
      <c r="Y14" s="1"/>
      <c r="Z14" s="1"/>
    </row>
    <row r="15" ht="14.25" customHeight="1" outlineLevel="1">
      <c r="A15" s="65" t="s">
        <v>60</v>
      </c>
      <c r="B15" s="40">
        <v>6.0</v>
      </c>
      <c r="C15" s="41">
        <v>2.0</v>
      </c>
      <c r="D15" s="42"/>
      <c r="E15" s="42"/>
      <c r="F15" s="41">
        <v>2.0</v>
      </c>
      <c r="G15" s="42"/>
      <c r="H15" s="42"/>
      <c r="I15" s="43">
        <v>2.0</v>
      </c>
      <c r="J15" s="44"/>
      <c r="K15" s="44"/>
      <c r="L15" s="45">
        <v>50000.0</v>
      </c>
      <c r="U15" s="1"/>
      <c r="V15" s="1"/>
      <c r="W15" s="1"/>
      <c r="X15" s="1"/>
      <c r="Y15" s="1"/>
      <c r="Z15" s="1"/>
    </row>
    <row r="16" ht="14.25" customHeight="1" outlineLevel="1">
      <c r="A16" s="54" t="s">
        <v>61</v>
      </c>
      <c r="B16" s="40">
        <v>6.0</v>
      </c>
      <c r="C16" s="41">
        <v>2.0</v>
      </c>
      <c r="D16" s="42"/>
      <c r="E16" s="42"/>
      <c r="F16" s="41">
        <v>2.0</v>
      </c>
      <c r="G16" s="42"/>
      <c r="H16" s="42"/>
      <c r="I16" s="43">
        <v>2.0</v>
      </c>
      <c r="J16" s="62"/>
      <c r="K16" s="62"/>
      <c r="L16" s="45">
        <v>50000.0</v>
      </c>
      <c r="N16" s="66" t="s">
        <v>62</v>
      </c>
      <c r="O16" s="8"/>
      <c r="S16" s="1"/>
      <c r="T16" s="1"/>
      <c r="U16" s="1"/>
      <c r="V16" s="1"/>
      <c r="W16" s="1"/>
      <c r="X16" s="1"/>
      <c r="Y16" s="1"/>
      <c r="Z16" s="1"/>
    </row>
    <row r="17" ht="14.25" customHeight="1" outlineLevel="1">
      <c r="A17" s="67"/>
      <c r="B17" s="68"/>
      <c r="C17" s="42"/>
      <c r="D17" s="42"/>
      <c r="E17" s="42"/>
      <c r="F17" s="42"/>
      <c r="G17" s="42"/>
      <c r="H17" s="42"/>
      <c r="I17" s="62"/>
      <c r="J17" s="62"/>
      <c r="K17" s="62"/>
      <c r="L17" s="62"/>
      <c r="M17" s="69"/>
      <c r="N17" s="70" t="s">
        <v>14</v>
      </c>
      <c r="O17" s="48">
        <f>SUM(L6:L10)</f>
        <v>175000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1" t="s">
        <v>63</v>
      </c>
      <c r="B18" s="72" t="s">
        <v>15</v>
      </c>
      <c r="C18" s="72" t="s">
        <v>16</v>
      </c>
      <c r="D18" s="72" t="s">
        <v>17</v>
      </c>
      <c r="E18" s="72" t="s">
        <v>18</v>
      </c>
      <c r="F18" s="72" t="s">
        <v>19</v>
      </c>
      <c r="G18" s="72" t="s">
        <v>20</v>
      </c>
      <c r="H18" s="72" t="s">
        <v>22</v>
      </c>
      <c r="I18" s="72" t="s">
        <v>23</v>
      </c>
      <c r="J18" s="72" t="s">
        <v>25</v>
      </c>
      <c r="K18" s="72" t="s">
        <v>27</v>
      </c>
      <c r="L18" s="72" t="s">
        <v>28</v>
      </c>
      <c r="N18" s="70" t="s">
        <v>53</v>
      </c>
      <c r="O18" s="48">
        <f>SUM(L12:L16)</f>
        <v>199375</v>
      </c>
      <c r="P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1">
      <c r="A19" s="73" t="s">
        <v>64</v>
      </c>
      <c r="B19" s="40">
        <v>3.0</v>
      </c>
      <c r="C19" s="42"/>
      <c r="D19" s="42"/>
      <c r="E19" s="42"/>
      <c r="F19" s="42"/>
      <c r="G19" s="42"/>
      <c r="H19" s="41">
        <v>3.0</v>
      </c>
      <c r="I19" s="62"/>
      <c r="J19" s="62"/>
      <c r="K19" s="62"/>
      <c r="L19" s="60">
        <f>H19*R11</f>
        <v>22500</v>
      </c>
      <c r="N19" s="74" t="s">
        <v>65</v>
      </c>
      <c r="O19" s="48">
        <f>SUM(L19:L130)</f>
        <v>2877500</v>
      </c>
      <c r="P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1">
      <c r="A20" s="73" t="s">
        <v>66</v>
      </c>
      <c r="B20" s="40">
        <v>2.0</v>
      </c>
      <c r="C20" s="42"/>
      <c r="D20" s="42"/>
      <c r="E20" s="42"/>
      <c r="F20" s="42"/>
      <c r="G20" s="42"/>
      <c r="H20" s="42"/>
      <c r="I20" s="62"/>
      <c r="J20" s="62"/>
      <c r="K20" s="43">
        <v>2.0</v>
      </c>
      <c r="L20" s="60">
        <f>K20*R14</f>
        <v>12500</v>
      </c>
      <c r="N20" s="75" t="s">
        <v>67</v>
      </c>
      <c r="O20" s="48">
        <f>SUM(L132:L136)</f>
        <v>123125</v>
      </c>
      <c r="P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2">
      <c r="A21" s="73" t="s">
        <v>68</v>
      </c>
      <c r="B21" s="40">
        <v>8.0</v>
      </c>
      <c r="C21" s="42"/>
      <c r="D21" s="41">
        <v>4.0</v>
      </c>
      <c r="E21" s="42"/>
      <c r="F21" s="42"/>
      <c r="G21" s="42"/>
      <c r="H21" s="42"/>
      <c r="I21" s="62"/>
      <c r="J21" s="43">
        <v>4.0</v>
      </c>
      <c r="K21" s="62"/>
      <c r="L21" s="60">
        <f>8*R7</f>
        <v>60000</v>
      </c>
      <c r="N21" s="76" t="s">
        <v>69</v>
      </c>
      <c r="O21" s="77">
        <f>SUM(O17:O20)</f>
        <v>3375000</v>
      </c>
      <c r="P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2">
      <c r="A22" s="73" t="s">
        <v>70</v>
      </c>
      <c r="B22" s="40">
        <v>4.0</v>
      </c>
      <c r="C22" s="42"/>
      <c r="D22" s="42"/>
      <c r="E22" s="42"/>
      <c r="F22" s="42"/>
      <c r="G22" s="41">
        <v>4.0</v>
      </c>
      <c r="H22" s="42"/>
      <c r="I22" s="62"/>
      <c r="J22" s="62"/>
      <c r="K22" s="62"/>
      <c r="L22" s="60">
        <f>G22*R10</f>
        <v>25000</v>
      </c>
      <c r="O22" s="1"/>
      <c r="P22" s="78"/>
      <c r="S22" s="1"/>
      <c r="T22" s="1"/>
      <c r="U22" s="1"/>
      <c r="V22" s="1"/>
      <c r="W22" s="1"/>
      <c r="X22" s="1"/>
      <c r="Y22" s="1"/>
      <c r="Z22" s="1"/>
    </row>
    <row r="23" ht="14.25" customHeight="1" outlineLevel="1">
      <c r="A23" s="79" t="s">
        <v>71</v>
      </c>
      <c r="B23" s="40">
        <v>3.0</v>
      </c>
      <c r="C23" s="42"/>
      <c r="D23" s="42"/>
      <c r="E23" s="42"/>
      <c r="F23" s="42"/>
      <c r="G23" s="42"/>
      <c r="H23" s="41">
        <v>3.0</v>
      </c>
      <c r="I23" s="62"/>
      <c r="J23" s="62"/>
      <c r="K23" s="62"/>
      <c r="L23" s="60">
        <f>H23*R11</f>
        <v>22500</v>
      </c>
      <c r="N23" s="66" t="s">
        <v>72</v>
      </c>
      <c r="O23" s="8"/>
      <c r="P23" s="80" t="s">
        <v>15</v>
      </c>
      <c r="S23" s="1"/>
      <c r="T23" s="1"/>
      <c r="U23" s="1"/>
      <c r="V23" s="1"/>
      <c r="W23" s="1"/>
      <c r="X23" s="1"/>
      <c r="Y23" s="1"/>
      <c r="Z23" s="1"/>
    </row>
    <row r="24" ht="14.25" customHeight="1" outlineLevel="2">
      <c r="A24" s="81" t="s">
        <v>73</v>
      </c>
      <c r="B24" s="40">
        <v>5.0</v>
      </c>
      <c r="C24" s="42"/>
      <c r="D24" s="42"/>
      <c r="E24" s="42"/>
      <c r="F24" s="42"/>
      <c r="G24" s="42"/>
      <c r="H24" s="42"/>
      <c r="I24" s="62"/>
      <c r="J24" s="43">
        <v>5.0</v>
      </c>
      <c r="K24" s="62"/>
      <c r="L24" s="82">
        <f>J24*R13</f>
        <v>37500</v>
      </c>
      <c r="N24" s="43" t="s">
        <v>8</v>
      </c>
      <c r="O24" s="48">
        <f>17*R6</f>
        <v>138125</v>
      </c>
      <c r="P24" s="43">
        <v>17.0</v>
      </c>
      <c r="S24" s="1"/>
      <c r="T24" s="1"/>
      <c r="U24" s="1"/>
      <c r="V24" s="1"/>
      <c r="W24" s="1"/>
      <c r="X24" s="1"/>
      <c r="Y24" s="1"/>
      <c r="Z24" s="1"/>
    </row>
    <row r="25" ht="14.25" customHeight="1" outlineLevel="2">
      <c r="A25" s="73" t="s">
        <v>74</v>
      </c>
      <c r="B25" s="40">
        <v>9.0</v>
      </c>
      <c r="C25" s="42"/>
      <c r="D25" s="41">
        <v>3.5</v>
      </c>
      <c r="E25" s="42"/>
      <c r="F25" s="42"/>
      <c r="G25" s="42"/>
      <c r="H25" s="42"/>
      <c r="I25" s="62"/>
      <c r="J25" s="43">
        <v>3.5</v>
      </c>
      <c r="K25" s="62"/>
      <c r="L25" s="60">
        <f>B25*R7</f>
        <v>67500</v>
      </c>
      <c r="N25" s="43" t="s">
        <v>75</v>
      </c>
      <c r="O25" s="48">
        <f>120*7500</f>
        <v>900000</v>
      </c>
      <c r="P25" s="43">
        <v>120.0</v>
      </c>
      <c r="S25" s="1"/>
      <c r="T25" s="1"/>
      <c r="U25" s="1"/>
      <c r="V25" s="1"/>
      <c r="W25" s="1"/>
      <c r="X25" s="1"/>
      <c r="Y25" s="1"/>
      <c r="Z25" s="1"/>
    </row>
    <row r="26" ht="14.25" customHeight="1" outlineLevel="1">
      <c r="A26" s="73" t="s">
        <v>76</v>
      </c>
      <c r="B26" s="40">
        <v>1.0</v>
      </c>
      <c r="C26" s="42"/>
      <c r="D26" s="42"/>
      <c r="E26" s="42"/>
      <c r="F26" s="42"/>
      <c r="G26" s="41">
        <v>2.0</v>
      </c>
      <c r="H26" s="41"/>
      <c r="I26" s="62"/>
      <c r="J26" s="62"/>
      <c r="K26" s="62"/>
      <c r="L26" s="60">
        <f>G26*R10</f>
        <v>12500</v>
      </c>
      <c r="N26" s="43" t="s">
        <v>77</v>
      </c>
      <c r="O26" s="48">
        <f>16*R8</f>
        <v>100000</v>
      </c>
      <c r="P26" s="43">
        <v>16.0</v>
      </c>
      <c r="S26" s="1"/>
      <c r="T26" s="1"/>
      <c r="U26" s="1"/>
      <c r="V26" s="1"/>
      <c r="W26" s="1"/>
      <c r="X26" s="1"/>
      <c r="Y26" s="1"/>
      <c r="Z26" s="1"/>
    </row>
    <row r="27" ht="14.25" customHeight="1">
      <c r="A27" s="71" t="s">
        <v>63</v>
      </c>
      <c r="B27" s="72" t="s">
        <v>15</v>
      </c>
      <c r="C27" s="72" t="s">
        <v>16</v>
      </c>
      <c r="D27" s="72" t="s">
        <v>17</v>
      </c>
      <c r="E27" s="72" t="s">
        <v>18</v>
      </c>
      <c r="F27" s="72" t="s">
        <v>19</v>
      </c>
      <c r="G27" s="72" t="s">
        <v>20</v>
      </c>
      <c r="H27" s="72" t="s">
        <v>22</v>
      </c>
      <c r="I27" s="72" t="s">
        <v>23</v>
      </c>
      <c r="J27" s="72" t="s">
        <v>25</v>
      </c>
      <c r="K27" s="72" t="s">
        <v>27</v>
      </c>
      <c r="L27" s="72" t="s">
        <v>28</v>
      </c>
      <c r="N27" s="43" t="s">
        <v>30</v>
      </c>
      <c r="O27" s="48">
        <f>15*R9</f>
        <v>112500</v>
      </c>
      <c r="P27" s="43">
        <v>15.0</v>
      </c>
      <c r="S27" s="1"/>
      <c r="T27" s="1"/>
      <c r="U27" s="1"/>
      <c r="V27" s="1"/>
      <c r="W27" s="1"/>
      <c r="X27" s="1"/>
      <c r="Y27" s="1"/>
      <c r="Z27" s="1"/>
    </row>
    <row r="28" ht="14.25" customHeight="1" outlineLevel="2">
      <c r="A28" s="83" t="s">
        <v>78</v>
      </c>
      <c r="B28" s="40">
        <v>1.0</v>
      </c>
      <c r="C28" s="42"/>
      <c r="D28" s="42"/>
      <c r="E28" s="42"/>
      <c r="F28" s="42"/>
      <c r="G28" s="42"/>
      <c r="H28" s="41">
        <v>1.0</v>
      </c>
      <c r="I28" s="62"/>
      <c r="J28" s="62"/>
      <c r="K28" s="62"/>
      <c r="L28" s="45">
        <v>7500.0</v>
      </c>
      <c r="N28" s="43" t="s">
        <v>20</v>
      </c>
      <c r="O28" s="48">
        <f>71*R10</f>
        <v>443750</v>
      </c>
      <c r="P28" s="64">
        <v>71.0</v>
      </c>
      <c r="S28" s="1"/>
      <c r="T28" s="1"/>
      <c r="U28" s="1"/>
      <c r="V28" s="1"/>
      <c r="W28" s="1"/>
      <c r="X28" s="1"/>
      <c r="Y28" s="1"/>
      <c r="Z28" s="1"/>
    </row>
    <row r="29" ht="14.25" customHeight="1" outlineLevel="2">
      <c r="A29" s="84" t="s">
        <v>79</v>
      </c>
      <c r="B29" s="40">
        <v>8.0</v>
      </c>
      <c r="C29" s="42"/>
      <c r="D29" s="41">
        <v>4.0</v>
      </c>
      <c r="E29" s="42"/>
      <c r="F29" s="42"/>
      <c r="G29" s="42"/>
      <c r="H29" s="42"/>
      <c r="I29" s="62"/>
      <c r="J29" s="43">
        <v>4.0</v>
      </c>
      <c r="K29" s="62"/>
      <c r="L29" s="60">
        <f>8*R7</f>
        <v>60000</v>
      </c>
      <c r="N29" s="43" t="s">
        <v>80</v>
      </c>
      <c r="O29" s="48">
        <f>51*R11</f>
        <v>382500</v>
      </c>
      <c r="P29" s="64">
        <v>51.0</v>
      </c>
      <c r="S29" s="1"/>
      <c r="T29" s="1"/>
      <c r="U29" s="1"/>
      <c r="V29" s="1"/>
      <c r="W29" s="1"/>
      <c r="X29" s="1"/>
      <c r="Y29" s="1"/>
      <c r="Z29" s="1"/>
    </row>
    <row r="30" ht="14.25" customHeight="1" outlineLevel="2">
      <c r="A30" s="84" t="s">
        <v>81</v>
      </c>
      <c r="B30" s="40">
        <v>16.0</v>
      </c>
      <c r="C30" s="42"/>
      <c r="D30" s="41">
        <v>8.0</v>
      </c>
      <c r="E30" s="42"/>
      <c r="F30" s="42"/>
      <c r="G30" s="42"/>
      <c r="H30" s="42"/>
      <c r="I30" s="62"/>
      <c r="J30" s="43">
        <v>8.0</v>
      </c>
      <c r="K30" s="62"/>
      <c r="L30" s="60">
        <f>16*R13</f>
        <v>120000</v>
      </c>
      <c r="N30" s="43" t="s">
        <v>23</v>
      </c>
      <c r="O30" s="48">
        <f>13*R12</f>
        <v>121875</v>
      </c>
      <c r="P30" s="64">
        <v>13.0</v>
      </c>
      <c r="S30" s="1"/>
      <c r="T30" s="1"/>
      <c r="U30" s="1"/>
      <c r="V30" s="1"/>
      <c r="W30" s="1"/>
      <c r="X30" s="1"/>
      <c r="Y30" s="1"/>
      <c r="Z30" s="1"/>
    </row>
    <row r="31" ht="14.25" customHeight="1" outlineLevel="1">
      <c r="A31" s="84" t="s">
        <v>82</v>
      </c>
      <c r="B31" s="40">
        <v>4.0</v>
      </c>
      <c r="C31" s="42"/>
      <c r="D31" s="42"/>
      <c r="E31" s="42"/>
      <c r="F31" s="42"/>
      <c r="G31" s="41">
        <v>4.0</v>
      </c>
      <c r="H31" s="42"/>
      <c r="I31" s="62"/>
      <c r="J31" s="62"/>
      <c r="K31" s="62"/>
      <c r="L31" s="60">
        <f>G31*R10</f>
        <v>25000</v>
      </c>
      <c r="N31" s="64" t="s">
        <v>83</v>
      </c>
      <c r="O31" s="60">
        <f>141*R13</f>
        <v>1057500</v>
      </c>
      <c r="P31" s="64">
        <v>141.0</v>
      </c>
      <c r="S31" s="1"/>
      <c r="T31" s="1"/>
      <c r="U31" s="1"/>
      <c r="V31" s="1"/>
      <c r="W31" s="1"/>
      <c r="X31" s="1"/>
      <c r="Y31" s="1"/>
      <c r="Z31" s="1"/>
    </row>
    <row r="32" ht="14.25" customHeight="1" outlineLevel="2">
      <c r="A32" s="85" t="s">
        <v>84</v>
      </c>
      <c r="B32" s="40">
        <v>3.0</v>
      </c>
      <c r="C32" s="42"/>
      <c r="D32" s="42"/>
      <c r="E32" s="42"/>
      <c r="F32" s="42"/>
      <c r="G32" s="42"/>
      <c r="H32" s="41">
        <v>3.0</v>
      </c>
      <c r="I32" s="62"/>
      <c r="J32" s="62"/>
      <c r="K32" s="62"/>
      <c r="L32" s="60">
        <f>H32*R11</f>
        <v>22500</v>
      </c>
      <c r="N32" s="64" t="s">
        <v>85</v>
      </c>
      <c r="O32" s="82">
        <f>19*R14</f>
        <v>118750</v>
      </c>
      <c r="P32" s="64">
        <v>19.0</v>
      </c>
      <c r="S32" s="1"/>
      <c r="T32" s="1"/>
      <c r="U32" s="1"/>
      <c r="V32" s="1"/>
      <c r="W32" s="1"/>
      <c r="X32" s="1"/>
      <c r="Y32" s="1"/>
      <c r="Z32" s="1"/>
    </row>
    <row r="33" ht="14.25" customHeight="1" outlineLevel="2">
      <c r="A33" s="85" t="s">
        <v>86</v>
      </c>
      <c r="B33" s="40">
        <v>3.0</v>
      </c>
      <c r="C33" s="42"/>
      <c r="D33" s="41">
        <v>1.5</v>
      </c>
      <c r="E33" s="42"/>
      <c r="F33" s="42"/>
      <c r="G33" s="42"/>
      <c r="H33" s="42"/>
      <c r="I33" s="62"/>
      <c r="J33" s="43">
        <v>1.5</v>
      </c>
      <c r="K33" s="62"/>
      <c r="L33" s="60">
        <f>3*R7</f>
        <v>22500</v>
      </c>
      <c r="N33" s="86" t="s">
        <v>87</v>
      </c>
      <c r="O33" s="77">
        <f>SUM(O24:O32)</f>
        <v>3375000</v>
      </c>
      <c r="P33" s="44"/>
      <c r="S33" s="1"/>
      <c r="T33" s="1"/>
      <c r="U33" s="1"/>
      <c r="V33" s="1"/>
      <c r="W33" s="1"/>
      <c r="X33" s="1"/>
      <c r="Y33" s="1"/>
      <c r="Z33" s="1"/>
    </row>
    <row r="34" ht="14.25" customHeight="1" outlineLevel="1">
      <c r="A34" s="85" t="s">
        <v>88</v>
      </c>
      <c r="B34" s="40">
        <v>4.0</v>
      </c>
      <c r="C34" s="42"/>
      <c r="D34" s="41">
        <v>2.0</v>
      </c>
      <c r="E34" s="42"/>
      <c r="F34" s="42"/>
      <c r="G34" s="42"/>
      <c r="H34" s="42"/>
      <c r="I34" s="62"/>
      <c r="J34" s="43">
        <v>2.0</v>
      </c>
      <c r="K34" s="62"/>
      <c r="L34" s="82">
        <f>B34*R13</f>
        <v>30000</v>
      </c>
      <c r="S34" s="1"/>
      <c r="T34" s="1"/>
      <c r="U34" s="1"/>
      <c r="V34" s="1"/>
      <c r="W34" s="1"/>
      <c r="X34" s="1"/>
      <c r="Y34" s="1"/>
      <c r="Z34" s="1"/>
    </row>
    <row r="35" ht="14.25" customHeight="1" outlineLevel="2">
      <c r="A35" s="85" t="s">
        <v>89</v>
      </c>
      <c r="B35" s="40">
        <v>2.0</v>
      </c>
      <c r="C35" s="42"/>
      <c r="D35" s="42"/>
      <c r="E35" s="42"/>
      <c r="F35" s="42"/>
      <c r="G35" s="41">
        <v>2.0</v>
      </c>
      <c r="H35" s="42"/>
      <c r="I35" s="62"/>
      <c r="J35" s="62"/>
      <c r="K35" s="62"/>
      <c r="L35" s="82">
        <f>G35*R10</f>
        <v>12500</v>
      </c>
      <c r="M35" s="69"/>
      <c r="N35" s="78"/>
      <c r="O35" s="78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71" t="s">
        <v>63</v>
      </c>
      <c r="B36" s="72" t="s">
        <v>15</v>
      </c>
      <c r="C36" s="72" t="s">
        <v>16</v>
      </c>
      <c r="D36" s="72" t="s">
        <v>17</v>
      </c>
      <c r="E36" s="72" t="s">
        <v>18</v>
      </c>
      <c r="F36" s="72" t="s">
        <v>19</v>
      </c>
      <c r="G36" s="72" t="s">
        <v>20</v>
      </c>
      <c r="H36" s="72" t="s">
        <v>22</v>
      </c>
      <c r="I36" s="72" t="s">
        <v>23</v>
      </c>
      <c r="J36" s="72" t="s">
        <v>25</v>
      </c>
      <c r="K36" s="72" t="s">
        <v>27</v>
      </c>
      <c r="L36" s="72" t="s">
        <v>28</v>
      </c>
      <c r="N36" s="87"/>
      <c r="O36" s="88"/>
      <c r="P36" s="69"/>
      <c r="S36" s="1"/>
      <c r="T36" s="1"/>
      <c r="U36" s="1"/>
      <c r="V36" s="1"/>
      <c r="W36" s="1"/>
      <c r="X36" s="1"/>
      <c r="Y36" s="1"/>
      <c r="Z36" s="1"/>
    </row>
    <row r="37" ht="14.25" customHeight="1" outlineLevel="2">
      <c r="A37" s="83" t="s">
        <v>90</v>
      </c>
      <c r="B37" s="89">
        <v>2.0</v>
      </c>
      <c r="C37" s="42"/>
      <c r="D37" s="42"/>
      <c r="E37" s="42"/>
      <c r="F37" s="42"/>
      <c r="G37" s="41">
        <v>2.0</v>
      </c>
      <c r="H37" s="42"/>
      <c r="I37" s="62"/>
      <c r="J37" s="62"/>
      <c r="K37" s="62"/>
      <c r="L37" s="60">
        <f>2*R10</f>
        <v>12500</v>
      </c>
      <c r="N37" s="90"/>
      <c r="O37" s="9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2">
      <c r="A38" s="84" t="s">
        <v>91</v>
      </c>
      <c r="B38" s="92">
        <v>5.0</v>
      </c>
      <c r="C38" s="42"/>
      <c r="D38" s="41">
        <v>2.5</v>
      </c>
      <c r="E38" s="42"/>
      <c r="F38" s="42"/>
      <c r="G38" s="42"/>
      <c r="H38" s="42"/>
      <c r="I38" s="62"/>
      <c r="J38" s="43">
        <v>2.5</v>
      </c>
      <c r="K38" s="62"/>
      <c r="L38" s="60">
        <f>B38*R7</f>
        <v>37500</v>
      </c>
      <c r="M38" s="93"/>
      <c r="O38" s="6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84" t="s">
        <v>92</v>
      </c>
      <c r="B39" s="92">
        <v>4.0</v>
      </c>
      <c r="C39" s="42"/>
      <c r="D39" s="41">
        <v>2.0</v>
      </c>
      <c r="E39" s="42"/>
      <c r="F39" s="42"/>
      <c r="G39" s="42"/>
      <c r="H39" s="42"/>
      <c r="I39" s="62"/>
      <c r="J39" s="43">
        <v>2.0</v>
      </c>
      <c r="K39" s="62"/>
      <c r="L39" s="60">
        <f>B39*R7</f>
        <v>30000</v>
      </c>
      <c r="M39" s="94"/>
      <c r="N39" s="53"/>
      <c r="O39" s="6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outlineLevel="1">
      <c r="A40" s="84" t="s">
        <v>93</v>
      </c>
      <c r="B40" s="92">
        <v>4.0</v>
      </c>
      <c r="C40" s="42"/>
      <c r="D40" s="42"/>
      <c r="E40" s="42"/>
      <c r="F40" s="42"/>
      <c r="G40" s="41">
        <v>4.0</v>
      </c>
      <c r="H40" s="42"/>
      <c r="I40" s="62"/>
      <c r="J40" s="62"/>
      <c r="K40" s="62"/>
      <c r="L40" s="60">
        <f>G40*R10</f>
        <v>25000</v>
      </c>
      <c r="M40" s="94"/>
      <c r="N40" s="53"/>
      <c r="O40" s="6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6.0" customHeight="1" outlineLevel="1">
      <c r="A41" s="83" t="s">
        <v>94</v>
      </c>
      <c r="B41" s="92">
        <v>2.0</v>
      </c>
      <c r="C41" s="42"/>
      <c r="D41" s="42"/>
      <c r="E41" s="42"/>
      <c r="F41" s="42"/>
      <c r="G41" s="42"/>
      <c r="H41" s="41">
        <v>2.0</v>
      </c>
      <c r="I41" s="62"/>
      <c r="J41" s="62"/>
      <c r="K41" s="62"/>
      <c r="L41" s="60">
        <f>2*R11</f>
        <v>15000</v>
      </c>
      <c r="M41" s="94"/>
      <c r="N41" s="53"/>
      <c r="O41" s="6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outlineLevel="1">
      <c r="A42" s="84" t="s">
        <v>95</v>
      </c>
      <c r="B42" s="92">
        <v>4.0</v>
      </c>
      <c r="C42" s="42"/>
      <c r="D42" s="41">
        <v>2.0</v>
      </c>
      <c r="E42" s="42"/>
      <c r="F42" s="42"/>
      <c r="G42" s="42"/>
      <c r="H42" s="42"/>
      <c r="I42" s="62"/>
      <c r="J42" s="43">
        <v>2.0</v>
      </c>
      <c r="K42" s="62"/>
      <c r="L42" s="60">
        <f>B42*R7</f>
        <v>30000</v>
      </c>
      <c r="M42" s="94"/>
      <c r="N42" s="53"/>
      <c r="O42" s="6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outlineLevel="1">
      <c r="A43" s="84" t="s">
        <v>96</v>
      </c>
      <c r="B43" s="92">
        <v>4.0</v>
      </c>
      <c r="C43" s="42"/>
      <c r="D43" s="41">
        <v>2.0</v>
      </c>
      <c r="E43" s="42"/>
      <c r="F43" s="42"/>
      <c r="G43" s="42"/>
      <c r="H43" s="42"/>
      <c r="I43" s="62"/>
      <c r="J43" s="43">
        <v>2.0</v>
      </c>
      <c r="K43" s="62"/>
      <c r="L43" s="60">
        <f>4*R7</f>
        <v>30000</v>
      </c>
      <c r="M43" s="94"/>
      <c r="N43" s="53"/>
      <c r="O43" s="6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84" t="s">
        <v>97</v>
      </c>
      <c r="B44" s="92">
        <v>3.0</v>
      </c>
      <c r="C44" s="42"/>
      <c r="D44" s="42"/>
      <c r="E44" s="42"/>
      <c r="F44" s="42"/>
      <c r="G44" s="41">
        <v>3.0</v>
      </c>
      <c r="H44" s="42"/>
      <c r="I44" s="62"/>
      <c r="J44" s="62"/>
      <c r="K44" s="62"/>
      <c r="L44" s="60">
        <f>G44*R10</f>
        <v>18750</v>
      </c>
      <c r="M44" s="94"/>
      <c r="N44" s="53"/>
      <c r="O44" s="9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6" t="s">
        <v>98</v>
      </c>
      <c r="B45" s="97">
        <v>2.0</v>
      </c>
      <c r="C45" s="44"/>
      <c r="D45" s="44"/>
      <c r="E45" s="44"/>
      <c r="F45" s="44"/>
      <c r="G45" s="44"/>
      <c r="H45" s="64">
        <v>2.0</v>
      </c>
      <c r="I45" s="62"/>
      <c r="J45" s="62"/>
      <c r="K45" s="62"/>
      <c r="L45" s="60">
        <f>H45*R11</f>
        <v>15000</v>
      </c>
      <c r="M45" s="98"/>
      <c r="V45" s="1"/>
      <c r="W45" s="1"/>
      <c r="X45" s="1"/>
      <c r="Y45" s="1"/>
      <c r="Z45" s="1"/>
    </row>
    <row r="46" ht="14.25" customHeight="1" outlineLevel="1">
      <c r="A46" s="96" t="s">
        <v>99</v>
      </c>
      <c r="B46" s="97">
        <v>4.0</v>
      </c>
      <c r="C46" s="44"/>
      <c r="D46" s="64">
        <v>2.0</v>
      </c>
      <c r="E46" s="44"/>
      <c r="F46" s="44"/>
      <c r="G46" s="44"/>
      <c r="H46" s="44"/>
      <c r="I46" s="62"/>
      <c r="J46" s="43">
        <v>2.0</v>
      </c>
      <c r="K46" s="62"/>
      <c r="L46" s="60">
        <f>B46*R7</f>
        <v>30000</v>
      </c>
      <c r="V46" s="1"/>
      <c r="W46" s="1"/>
      <c r="X46" s="1"/>
      <c r="Y46" s="1"/>
      <c r="Z46" s="1"/>
    </row>
    <row r="47" ht="14.25" customHeight="1" outlineLevel="1">
      <c r="A47" s="96" t="s">
        <v>100</v>
      </c>
      <c r="B47" s="97">
        <v>5.0</v>
      </c>
      <c r="C47" s="44"/>
      <c r="D47" s="64">
        <v>2.5</v>
      </c>
      <c r="E47" s="44"/>
      <c r="F47" s="44"/>
      <c r="G47" s="44"/>
      <c r="H47" s="44"/>
      <c r="I47" s="62"/>
      <c r="J47" s="43">
        <v>2.5</v>
      </c>
      <c r="K47" s="62"/>
      <c r="L47" s="99">
        <f>5*R7</f>
        <v>37500</v>
      </c>
      <c r="M47" s="51"/>
      <c r="V47" s="1"/>
      <c r="W47" s="1"/>
      <c r="X47" s="1"/>
      <c r="Y47" s="1"/>
      <c r="Z47" s="1"/>
    </row>
    <row r="48" ht="14.25" customHeight="1" outlineLevel="1">
      <c r="A48" s="96" t="s">
        <v>101</v>
      </c>
      <c r="B48" s="97">
        <v>4.0</v>
      </c>
      <c r="C48" s="44"/>
      <c r="D48" s="44"/>
      <c r="E48" s="44"/>
      <c r="F48" s="44"/>
      <c r="G48" s="64">
        <v>4.0</v>
      </c>
      <c r="H48" s="44"/>
      <c r="I48" s="62"/>
      <c r="J48" s="62"/>
      <c r="K48" s="62"/>
      <c r="L48" s="60">
        <f>G48*R10</f>
        <v>25000</v>
      </c>
      <c r="M48" s="100"/>
      <c r="V48" s="1"/>
      <c r="W48" s="1"/>
      <c r="X48" s="1"/>
      <c r="Y48" s="1"/>
      <c r="Z48" s="1"/>
    </row>
    <row r="49" ht="14.25" customHeight="1">
      <c r="A49" s="101" t="s">
        <v>102</v>
      </c>
      <c r="B49" s="102" t="s">
        <v>15</v>
      </c>
      <c r="C49" s="102" t="s">
        <v>16</v>
      </c>
      <c r="D49" s="102" t="s">
        <v>17</v>
      </c>
      <c r="E49" s="102" t="s">
        <v>18</v>
      </c>
      <c r="F49" s="102" t="s">
        <v>19</v>
      </c>
      <c r="G49" s="102" t="s">
        <v>20</v>
      </c>
      <c r="H49" s="102" t="s">
        <v>22</v>
      </c>
      <c r="I49" s="102" t="s">
        <v>23</v>
      </c>
      <c r="J49" s="102" t="s">
        <v>25</v>
      </c>
      <c r="K49" s="102" t="s">
        <v>27</v>
      </c>
      <c r="L49" s="102" t="s">
        <v>28</v>
      </c>
      <c r="V49" s="103"/>
      <c r="W49" s="103"/>
      <c r="X49" s="103"/>
      <c r="Y49" s="103"/>
      <c r="Z49" s="103"/>
    </row>
    <row r="50" ht="14.25" customHeight="1" outlineLevel="1">
      <c r="A50" s="104" t="s">
        <v>103</v>
      </c>
      <c r="B50" s="97">
        <v>2.0</v>
      </c>
      <c r="C50" s="44"/>
      <c r="D50" s="44"/>
      <c r="E50" s="44"/>
      <c r="F50" s="44"/>
      <c r="G50" s="44"/>
      <c r="H50" s="64">
        <v>2.0</v>
      </c>
      <c r="I50" s="62"/>
      <c r="J50" s="62"/>
      <c r="K50" s="62"/>
      <c r="L50" s="60">
        <f>2*R11</f>
        <v>15000</v>
      </c>
      <c r="M50" s="100"/>
      <c r="V50" s="1"/>
      <c r="W50" s="1"/>
      <c r="X50" s="1"/>
      <c r="Y50" s="1"/>
      <c r="Z50" s="1"/>
    </row>
    <row r="51" ht="14.25" customHeight="1" outlineLevel="1">
      <c r="A51" s="104" t="s">
        <v>104</v>
      </c>
      <c r="B51" s="97">
        <v>4.0</v>
      </c>
      <c r="C51" s="44"/>
      <c r="D51" s="44"/>
      <c r="E51" s="44"/>
      <c r="F51" s="44"/>
      <c r="G51" s="44"/>
      <c r="H51" s="44"/>
      <c r="I51" s="62"/>
      <c r="J51" s="43">
        <v>4.0</v>
      </c>
      <c r="K51" s="62"/>
      <c r="L51" s="45">
        <f>4*7500</f>
        <v>30000</v>
      </c>
      <c r="M51" s="100"/>
      <c r="V51" s="1"/>
      <c r="W51" s="1"/>
      <c r="X51" s="1"/>
      <c r="Y51" s="1"/>
      <c r="Z51" s="1"/>
    </row>
    <row r="52" ht="14.25" customHeight="1" outlineLevel="1">
      <c r="A52" s="104" t="s">
        <v>105</v>
      </c>
      <c r="B52" s="97">
        <v>6.0</v>
      </c>
      <c r="C52" s="44"/>
      <c r="D52" s="64">
        <v>3.0</v>
      </c>
      <c r="E52" s="44"/>
      <c r="F52" s="44"/>
      <c r="G52" s="44"/>
      <c r="H52" s="44"/>
      <c r="I52" s="62"/>
      <c r="J52" s="43">
        <v>3.0</v>
      </c>
      <c r="K52" s="62"/>
      <c r="L52" s="60">
        <f>B52*R7</f>
        <v>45000</v>
      </c>
      <c r="M52" s="100"/>
      <c r="V52" s="1"/>
      <c r="W52" s="1"/>
      <c r="X52" s="1"/>
      <c r="Y52" s="1"/>
      <c r="Z52" s="1"/>
    </row>
    <row r="53" ht="14.25" customHeight="1" outlineLevel="1">
      <c r="A53" s="104" t="s">
        <v>106</v>
      </c>
      <c r="B53" s="97">
        <v>2.0</v>
      </c>
      <c r="C53" s="44"/>
      <c r="D53" s="44"/>
      <c r="E53" s="44"/>
      <c r="F53" s="44"/>
      <c r="G53" s="64">
        <v>2.0</v>
      </c>
      <c r="H53" s="44"/>
      <c r="I53" s="62"/>
      <c r="J53" s="62"/>
      <c r="K53" s="62"/>
      <c r="L53" s="60">
        <f t="shared" ref="L53:L54" si="1">2*R10</f>
        <v>12500</v>
      </c>
      <c r="M53" s="100"/>
      <c r="V53" s="1"/>
      <c r="W53" s="1"/>
      <c r="X53" s="1"/>
      <c r="Y53" s="1"/>
      <c r="Z53" s="1"/>
    </row>
    <row r="54" ht="25.5" customHeight="1" outlineLevel="1">
      <c r="A54" s="104" t="s">
        <v>107</v>
      </c>
      <c r="B54" s="97">
        <v>2.0</v>
      </c>
      <c r="C54" s="44"/>
      <c r="D54" s="44"/>
      <c r="E54" s="44"/>
      <c r="F54" s="44"/>
      <c r="G54" s="44"/>
      <c r="H54" s="64">
        <v>2.0</v>
      </c>
      <c r="I54" s="62"/>
      <c r="J54" s="62"/>
      <c r="K54" s="62"/>
      <c r="L54" s="60">
        <f t="shared" si="1"/>
        <v>15000</v>
      </c>
      <c r="M54" s="100"/>
      <c r="V54" s="1"/>
      <c r="W54" s="1"/>
      <c r="X54" s="1"/>
      <c r="Y54" s="1"/>
      <c r="Z54" s="1"/>
    </row>
    <row r="55" ht="14.25" customHeight="1" outlineLevel="1">
      <c r="A55" s="104" t="s">
        <v>108</v>
      </c>
      <c r="B55" s="97">
        <v>4.0</v>
      </c>
      <c r="C55" s="44"/>
      <c r="D55" s="44"/>
      <c r="E55" s="44"/>
      <c r="F55" s="44"/>
      <c r="G55" s="44"/>
      <c r="H55" s="44"/>
      <c r="I55" s="62"/>
      <c r="J55" s="43">
        <v>4.0</v>
      </c>
      <c r="K55" s="62"/>
      <c r="L55" s="60">
        <f>4*7500</f>
        <v>30000</v>
      </c>
      <c r="M55" s="100"/>
      <c r="V55" s="1"/>
      <c r="W55" s="1"/>
      <c r="X55" s="1"/>
      <c r="Y55" s="1"/>
      <c r="Z55" s="1"/>
    </row>
    <row r="56" ht="36.0" customHeight="1">
      <c r="A56" s="104" t="s">
        <v>109</v>
      </c>
      <c r="B56" s="97">
        <v>4.0</v>
      </c>
      <c r="C56" s="44"/>
      <c r="D56" s="64">
        <v>2.0</v>
      </c>
      <c r="E56" s="44"/>
      <c r="F56" s="44"/>
      <c r="G56" s="44"/>
      <c r="H56" s="44"/>
      <c r="I56" s="105"/>
      <c r="J56" s="106">
        <v>2.0</v>
      </c>
      <c r="K56" s="105"/>
      <c r="L56" s="107">
        <f>7500*4</f>
        <v>30000</v>
      </c>
      <c r="M56" s="98"/>
      <c r="V56" s="108"/>
      <c r="W56" s="108"/>
      <c r="X56" s="108"/>
      <c r="Y56" s="108"/>
      <c r="Z56" s="108"/>
    </row>
    <row r="57" ht="24.0" customHeight="1">
      <c r="A57" s="73" t="s">
        <v>110</v>
      </c>
      <c r="B57" s="92">
        <v>3.0</v>
      </c>
      <c r="C57" s="42"/>
      <c r="D57" s="42"/>
      <c r="E57" s="42"/>
      <c r="F57" s="42"/>
      <c r="G57" s="41">
        <v>3.0</v>
      </c>
      <c r="H57" s="42"/>
      <c r="I57" s="62"/>
      <c r="J57" s="62"/>
      <c r="K57" s="62"/>
      <c r="L57" s="82">
        <f>6250*3</f>
        <v>18750</v>
      </c>
      <c r="M57" s="109"/>
      <c r="N57" s="9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01" t="s">
        <v>102</v>
      </c>
      <c r="B58" s="110" t="s">
        <v>15</v>
      </c>
      <c r="C58" s="102" t="s">
        <v>16</v>
      </c>
      <c r="D58" s="102" t="s">
        <v>17</v>
      </c>
      <c r="E58" s="102" t="s">
        <v>18</v>
      </c>
      <c r="F58" s="102" t="s">
        <v>19</v>
      </c>
      <c r="G58" s="102" t="s">
        <v>20</v>
      </c>
      <c r="H58" s="102" t="s">
        <v>22</v>
      </c>
      <c r="I58" s="102" t="s">
        <v>23</v>
      </c>
      <c r="J58" s="102" t="s">
        <v>25</v>
      </c>
      <c r="K58" s="102" t="s">
        <v>27</v>
      </c>
      <c r="L58" s="102" t="s">
        <v>28</v>
      </c>
      <c r="R58" s="1"/>
      <c r="S58" s="1"/>
      <c r="T58" s="1"/>
      <c r="U58" s="1"/>
      <c r="V58" s="1"/>
      <c r="W58" s="1"/>
      <c r="X58" s="1"/>
      <c r="Y58" s="1"/>
      <c r="Z58" s="1"/>
    </row>
    <row r="59" ht="29.25" customHeight="1">
      <c r="A59" s="85" t="s">
        <v>111</v>
      </c>
      <c r="B59" s="92">
        <v>2.0</v>
      </c>
      <c r="C59" s="42"/>
      <c r="D59" s="42"/>
      <c r="E59" s="42"/>
      <c r="F59" s="42"/>
      <c r="G59" s="42"/>
      <c r="H59" s="41">
        <v>2.0</v>
      </c>
      <c r="I59" s="62"/>
      <c r="J59" s="43"/>
      <c r="K59" s="62"/>
      <c r="L59" s="82">
        <f>7500*2</f>
        <v>15000</v>
      </c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84" t="s">
        <v>112</v>
      </c>
      <c r="B60" s="92">
        <v>4.0</v>
      </c>
      <c r="C60" s="42"/>
      <c r="D60" s="41">
        <v>2.0</v>
      </c>
      <c r="E60" s="42"/>
      <c r="F60" s="42"/>
      <c r="G60" s="42"/>
      <c r="H60" s="42"/>
      <c r="I60" s="62"/>
      <c r="J60" s="43">
        <v>2.0</v>
      </c>
      <c r="K60" s="62"/>
      <c r="L60" s="82">
        <f>B60*E142</f>
        <v>30000</v>
      </c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84" t="s">
        <v>113</v>
      </c>
      <c r="B61" s="92">
        <v>4.0</v>
      </c>
      <c r="C61" s="42"/>
      <c r="D61" s="41">
        <v>2.0</v>
      </c>
      <c r="E61" s="42"/>
      <c r="F61" s="42"/>
      <c r="G61" s="42"/>
      <c r="H61" s="42"/>
      <c r="I61" s="62"/>
      <c r="J61" s="43">
        <v>2.0</v>
      </c>
      <c r="K61" s="62"/>
      <c r="L61" s="82">
        <f>B61*E148</f>
        <v>30000</v>
      </c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84" t="s">
        <v>114</v>
      </c>
      <c r="B62" s="92">
        <v>3.0</v>
      </c>
      <c r="C62" s="42"/>
      <c r="D62" s="42"/>
      <c r="E62" s="42"/>
      <c r="F62" s="42"/>
      <c r="G62" s="41">
        <v>3.0</v>
      </c>
      <c r="H62" s="42"/>
      <c r="I62" s="62"/>
      <c r="J62" s="62"/>
      <c r="K62" s="62"/>
      <c r="L62" s="82">
        <f>3*E145</f>
        <v>18750</v>
      </c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85" t="s">
        <v>115</v>
      </c>
      <c r="B63" s="92">
        <v>2.0</v>
      </c>
      <c r="C63" s="42"/>
      <c r="D63" s="42"/>
      <c r="E63" s="42"/>
      <c r="F63" s="42"/>
      <c r="G63" s="42"/>
      <c r="H63" s="41">
        <v>2.0</v>
      </c>
      <c r="I63" s="62"/>
      <c r="J63" s="62"/>
      <c r="K63" s="62"/>
      <c r="L63" s="111">
        <f>2*E146</f>
        <v>15000</v>
      </c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85" t="s">
        <v>116</v>
      </c>
      <c r="B64" s="92">
        <v>3.0</v>
      </c>
      <c r="C64" s="42"/>
      <c r="D64" s="41">
        <v>1.5</v>
      </c>
      <c r="E64" s="42"/>
      <c r="F64" s="42"/>
      <c r="G64" s="42"/>
      <c r="H64" s="42"/>
      <c r="I64" s="62"/>
      <c r="J64" s="43">
        <v>1.5</v>
      </c>
      <c r="K64" s="62"/>
      <c r="L64" s="82">
        <f>B64*E142</f>
        <v>22500</v>
      </c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85" t="s">
        <v>117</v>
      </c>
      <c r="B65" s="92">
        <v>3.0</v>
      </c>
      <c r="C65" s="42"/>
      <c r="D65" s="41">
        <v>2.5</v>
      </c>
      <c r="E65" s="42"/>
      <c r="F65" s="42"/>
      <c r="G65" s="42"/>
      <c r="H65" s="42"/>
      <c r="I65" s="62"/>
      <c r="J65" s="43">
        <v>2.5</v>
      </c>
      <c r="K65" s="62"/>
      <c r="L65" s="82">
        <f>B65*E142</f>
        <v>22500</v>
      </c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85" t="s">
        <v>118</v>
      </c>
      <c r="B66" s="92">
        <v>2.0</v>
      </c>
      <c r="C66" s="42"/>
      <c r="D66" s="42"/>
      <c r="E66" s="42"/>
      <c r="F66" s="42"/>
      <c r="G66" s="41">
        <v>2.0</v>
      </c>
      <c r="H66" s="42"/>
      <c r="I66" s="62"/>
      <c r="J66" s="62"/>
      <c r="K66" s="62"/>
      <c r="L66" s="82">
        <f t="shared" ref="L66:L67" si="2">2*E145</f>
        <v>12500</v>
      </c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85" t="s">
        <v>119</v>
      </c>
      <c r="B67" s="92">
        <v>2.0</v>
      </c>
      <c r="C67" s="42"/>
      <c r="D67" s="42"/>
      <c r="E67" s="42"/>
      <c r="F67" s="42"/>
      <c r="G67" s="42"/>
      <c r="H67" s="41">
        <v>2.0</v>
      </c>
      <c r="I67" s="62"/>
      <c r="J67" s="62"/>
      <c r="K67" s="62"/>
      <c r="L67" s="82">
        <f t="shared" si="2"/>
        <v>15000</v>
      </c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84" t="s">
        <v>120</v>
      </c>
      <c r="B68" s="92">
        <v>4.0</v>
      </c>
      <c r="C68" s="42"/>
      <c r="D68" s="41">
        <v>2.0</v>
      </c>
      <c r="E68" s="42"/>
      <c r="F68" s="42"/>
      <c r="G68" s="42"/>
      <c r="H68" s="42"/>
      <c r="I68" s="62"/>
      <c r="J68" s="43">
        <v>2.0</v>
      </c>
      <c r="K68" s="62"/>
      <c r="L68" s="82">
        <f>4*E142</f>
        <v>30000</v>
      </c>
      <c r="M68" s="69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84" t="s">
        <v>121</v>
      </c>
      <c r="B69" s="92">
        <v>4.0</v>
      </c>
      <c r="C69" s="42"/>
      <c r="D69" s="41">
        <v>2.0</v>
      </c>
      <c r="E69" s="42"/>
      <c r="F69" s="42"/>
      <c r="G69" s="42"/>
      <c r="H69" s="42"/>
      <c r="I69" s="62"/>
      <c r="J69" s="43">
        <v>2.0</v>
      </c>
      <c r="K69" s="62"/>
      <c r="L69" s="82">
        <f>4*E142</f>
        <v>30000</v>
      </c>
      <c r="M69" s="6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84" t="s">
        <v>122</v>
      </c>
      <c r="B70" s="92">
        <v>3.0</v>
      </c>
      <c r="C70" s="42"/>
      <c r="D70" s="42"/>
      <c r="E70" s="42"/>
      <c r="F70" s="42"/>
      <c r="G70" s="41">
        <v>3.0</v>
      </c>
      <c r="H70" s="42"/>
      <c r="I70" s="62"/>
      <c r="J70" s="62"/>
      <c r="K70" s="62"/>
      <c r="L70" s="82">
        <f>3*E145</f>
        <v>18750</v>
      </c>
      <c r="M70" s="6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85" t="s">
        <v>123</v>
      </c>
      <c r="B71" s="92">
        <v>2.0</v>
      </c>
      <c r="C71" s="42"/>
      <c r="D71" s="42"/>
      <c r="E71" s="42"/>
      <c r="F71" s="42"/>
      <c r="G71" s="42"/>
      <c r="H71" s="41">
        <v>2.0</v>
      </c>
      <c r="I71" s="62"/>
      <c r="J71" s="62"/>
      <c r="K71" s="62"/>
      <c r="L71" s="82">
        <f>2*E146</f>
        <v>15000</v>
      </c>
      <c r="M71" s="6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84" t="s">
        <v>124</v>
      </c>
      <c r="B72" s="92">
        <v>3.0</v>
      </c>
      <c r="C72" s="42"/>
      <c r="D72" s="41">
        <v>1.5</v>
      </c>
      <c r="E72" s="42"/>
      <c r="F72" s="42"/>
      <c r="G72" s="42"/>
      <c r="H72" s="42"/>
      <c r="I72" s="62"/>
      <c r="J72" s="43">
        <v>1.5</v>
      </c>
      <c r="K72" s="62"/>
      <c r="L72" s="82">
        <f>3*E148</f>
        <v>22500</v>
      </c>
      <c r="M72" s="6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84" t="s">
        <v>125</v>
      </c>
      <c r="B73" s="92">
        <v>10.0</v>
      </c>
      <c r="C73" s="42"/>
      <c r="D73" s="41">
        <v>5.0</v>
      </c>
      <c r="E73" s="42"/>
      <c r="F73" s="42"/>
      <c r="G73" s="42"/>
      <c r="H73" s="42"/>
      <c r="I73" s="62"/>
      <c r="J73" s="43">
        <v>5.0</v>
      </c>
      <c r="K73" s="62"/>
      <c r="L73" s="82">
        <f>10*E148</f>
        <v>75000</v>
      </c>
      <c r="M73" s="69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84" t="s">
        <v>126</v>
      </c>
      <c r="B74" s="92">
        <v>2.0</v>
      </c>
      <c r="C74" s="42"/>
      <c r="D74" s="42"/>
      <c r="E74" s="42"/>
      <c r="F74" s="42"/>
      <c r="G74" s="41">
        <v>2.0</v>
      </c>
      <c r="H74" s="42"/>
      <c r="I74" s="62"/>
      <c r="J74" s="62"/>
      <c r="K74" s="62"/>
      <c r="L74" s="82">
        <f>2*E145</f>
        <v>12500</v>
      </c>
      <c r="M74" s="6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12" t="s">
        <v>127</v>
      </c>
      <c r="B75" s="113" t="s">
        <v>15</v>
      </c>
      <c r="C75" s="114" t="s">
        <v>16</v>
      </c>
      <c r="D75" s="114" t="s">
        <v>17</v>
      </c>
      <c r="E75" s="114" t="s">
        <v>18</v>
      </c>
      <c r="F75" s="114" t="s">
        <v>19</v>
      </c>
      <c r="G75" s="114" t="s">
        <v>20</v>
      </c>
      <c r="H75" s="114" t="s">
        <v>22</v>
      </c>
      <c r="I75" s="114" t="s">
        <v>23</v>
      </c>
      <c r="J75" s="114" t="s">
        <v>25</v>
      </c>
      <c r="K75" s="114" t="s">
        <v>27</v>
      </c>
      <c r="L75" s="114" t="s">
        <v>28</v>
      </c>
      <c r="S75" s="103"/>
      <c r="T75" s="103"/>
      <c r="U75" s="103"/>
      <c r="V75" s="103"/>
      <c r="W75" s="103"/>
      <c r="X75" s="103"/>
      <c r="Y75" s="103"/>
      <c r="Z75" s="103"/>
    </row>
    <row r="76" ht="14.25" customHeight="1">
      <c r="A76" s="73" t="s">
        <v>128</v>
      </c>
      <c r="B76" s="92">
        <v>2.0</v>
      </c>
      <c r="C76" s="42"/>
      <c r="D76" s="42"/>
      <c r="E76" s="42"/>
      <c r="F76" s="42"/>
      <c r="G76" s="42"/>
      <c r="H76" s="41">
        <v>2.0</v>
      </c>
      <c r="I76" s="62"/>
      <c r="J76" s="62"/>
      <c r="K76" s="62"/>
      <c r="L76" s="82">
        <f>2*E146</f>
        <v>15000</v>
      </c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73" t="s">
        <v>129</v>
      </c>
      <c r="B77" s="92">
        <v>3.0</v>
      </c>
      <c r="C77" s="42"/>
      <c r="D77" s="42"/>
      <c r="E77" s="42"/>
      <c r="F77" s="42"/>
      <c r="G77" s="42"/>
      <c r="H77" s="42"/>
      <c r="I77" s="62"/>
      <c r="J77" s="43">
        <v>3.0</v>
      </c>
      <c r="K77" s="62"/>
      <c r="L77" s="82">
        <f>3*E148</f>
        <v>22500</v>
      </c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73" t="s">
        <v>130</v>
      </c>
      <c r="B78" s="92">
        <v>10.0</v>
      </c>
      <c r="C78" s="42"/>
      <c r="D78" s="41">
        <v>5.0</v>
      </c>
      <c r="E78" s="42"/>
      <c r="F78" s="42"/>
      <c r="G78" s="42"/>
      <c r="H78" s="42"/>
      <c r="I78" s="62"/>
      <c r="J78" s="43">
        <v>5.0</v>
      </c>
      <c r="K78" s="62"/>
      <c r="L78" s="82">
        <f>10*E142</f>
        <v>75000</v>
      </c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73" t="s">
        <v>131</v>
      </c>
      <c r="B79" s="92">
        <v>3.0</v>
      </c>
      <c r="C79" s="42"/>
      <c r="D79" s="42"/>
      <c r="E79" s="42"/>
      <c r="F79" s="42"/>
      <c r="G79" s="41">
        <v>3.0</v>
      </c>
      <c r="H79" s="42"/>
      <c r="I79" s="62"/>
      <c r="J79" s="62"/>
      <c r="K79" s="62"/>
      <c r="L79" s="82">
        <f>3*E145</f>
        <v>18750</v>
      </c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73" t="s">
        <v>132</v>
      </c>
      <c r="B80" s="92">
        <v>2.0</v>
      </c>
      <c r="C80" s="42"/>
      <c r="D80" s="42"/>
      <c r="E80" s="42"/>
      <c r="F80" s="42"/>
      <c r="G80" s="42"/>
      <c r="H80" s="41">
        <v>2.0</v>
      </c>
      <c r="I80" s="62"/>
      <c r="J80" s="62"/>
      <c r="K80" s="62"/>
      <c r="L80" s="82">
        <f>2*E146</f>
        <v>15000</v>
      </c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73" t="s">
        <v>133</v>
      </c>
      <c r="B81" s="92">
        <v>3.0</v>
      </c>
      <c r="C81" s="42"/>
      <c r="D81" s="42"/>
      <c r="E81" s="42"/>
      <c r="F81" s="42"/>
      <c r="G81" s="42"/>
      <c r="H81" s="42"/>
      <c r="I81" s="62"/>
      <c r="J81" s="43">
        <v>3.0</v>
      </c>
      <c r="K81" s="62"/>
      <c r="L81" s="82">
        <f>3*E148</f>
        <v>22500</v>
      </c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73" t="s">
        <v>134</v>
      </c>
      <c r="B82" s="92">
        <v>8.0</v>
      </c>
      <c r="C82" s="42"/>
      <c r="D82" s="41">
        <v>4.0</v>
      </c>
      <c r="E82" s="42"/>
      <c r="F82" s="42"/>
      <c r="G82" s="42"/>
      <c r="H82" s="42"/>
      <c r="I82" s="62"/>
      <c r="J82" s="43">
        <v>4.0</v>
      </c>
      <c r="K82" s="62"/>
      <c r="L82" s="82">
        <f>8*E142</f>
        <v>60000</v>
      </c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73" t="s">
        <v>135</v>
      </c>
      <c r="B83" s="92">
        <v>3.0</v>
      </c>
      <c r="C83" s="42"/>
      <c r="D83" s="42"/>
      <c r="E83" s="42"/>
      <c r="F83" s="42"/>
      <c r="G83" s="41">
        <v>3.0</v>
      </c>
      <c r="H83" s="42"/>
      <c r="I83" s="62"/>
      <c r="J83" s="62"/>
      <c r="K83" s="62"/>
      <c r="L83" s="82">
        <f>3*E145</f>
        <v>18750</v>
      </c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85" t="s">
        <v>136</v>
      </c>
      <c r="B84" s="92">
        <v>2.0</v>
      </c>
      <c r="C84" s="42"/>
      <c r="D84" s="42"/>
      <c r="E84" s="42"/>
      <c r="F84" s="42"/>
      <c r="G84" s="42"/>
      <c r="H84" s="41">
        <v>2.0</v>
      </c>
      <c r="I84" s="62"/>
      <c r="J84" s="62"/>
      <c r="K84" s="62"/>
      <c r="L84" s="82">
        <f>2*E146</f>
        <v>15000</v>
      </c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84" t="s">
        <v>137</v>
      </c>
      <c r="B85" s="92">
        <v>8.0</v>
      </c>
      <c r="C85" s="42"/>
      <c r="D85" s="41">
        <v>4.0</v>
      </c>
      <c r="E85" s="42"/>
      <c r="F85" s="42"/>
      <c r="G85" s="42"/>
      <c r="H85" s="42"/>
      <c r="I85" s="62"/>
      <c r="J85" s="43">
        <v>4.0</v>
      </c>
      <c r="K85" s="62"/>
      <c r="L85" s="82">
        <f>8*E142</f>
        <v>60000</v>
      </c>
      <c r="M85" s="69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84" t="s">
        <v>138</v>
      </c>
      <c r="B86" s="92">
        <v>6.0</v>
      </c>
      <c r="C86" s="42"/>
      <c r="D86" s="41">
        <v>3.0</v>
      </c>
      <c r="E86" s="42"/>
      <c r="F86" s="42"/>
      <c r="G86" s="42"/>
      <c r="H86" s="42"/>
      <c r="I86" s="62"/>
      <c r="J86" s="43">
        <v>3.0</v>
      </c>
      <c r="K86" s="62"/>
      <c r="L86" s="82">
        <f>6*E142</f>
        <v>45000</v>
      </c>
      <c r="M86" s="69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84" t="s">
        <v>139</v>
      </c>
      <c r="B87" s="92">
        <v>3.0</v>
      </c>
      <c r="C87" s="42"/>
      <c r="D87" s="42"/>
      <c r="E87" s="42"/>
      <c r="F87" s="42"/>
      <c r="G87" s="41">
        <v>3.0</v>
      </c>
      <c r="H87" s="42"/>
      <c r="I87" s="62"/>
      <c r="J87" s="62"/>
      <c r="K87" s="62"/>
      <c r="L87" s="82">
        <f>3*E145</f>
        <v>18750</v>
      </c>
      <c r="M87" s="69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12" t="s">
        <v>127</v>
      </c>
      <c r="B88" s="113" t="s">
        <v>15</v>
      </c>
      <c r="C88" s="114" t="s">
        <v>16</v>
      </c>
      <c r="D88" s="114" t="s">
        <v>17</v>
      </c>
      <c r="E88" s="114" t="s">
        <v>18</v>
      </c>
      <c r="F88" s="114" t="s">
        <v>19</v>
      </c>
      <c r="G88" s="114" t="s">
        <v>20</v>
      </c>
      <c r="H88" s="114" t="s">
        <v>22</v>
      </c>
      <c r="I88" s="114" t="s">
        <v>23</v>
      </c>
      <c r="J88" s="114" t="s">
        <v>25</v>
      </c>
      <c r="K88" s="114" t="s">
        <v>27</v>
      </c>
      <c r="L88" s="114" t="s">
        <v>28</v>
      </c>
      <c r="M88" s="69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85" t="s">
        <v>140</v>
      </c>
      <c r="B89" s="92">
        <v>2.0</v>
      </c>
      <c r="C89" s="42"/>
      <c r="D89" s="42"/>
      <c r="E89" s="42"/>
      <c r="F89" s="42"/>
      <c r="G89" s="42"/>
      <c r="H89" s="41">
        <v>2.0</v>
      </c>
      <c r="I89" s="62"/>
      <c r="J89" s="62"/>
      <c r="K89" s="62"/>
      <c r="L89" s="82">
        <f>2*E146</f>
        <v>15000</v>
      </c>
      <c r="S89" s="1"/>
      <c r="T89" s="1"/>
      <c r="U89" s="1"/>
      <c r="V89" s="1"/>
      <c r="W89" s="1"/>
      <c r="X89" s="1"/>
      <c r="Y89" s="1"/>
      <c r="Z89" s="1"/>
    </row>
    <row r="90" ht="14.25" customHeight="1">
      <c r="A90" s="85" t="s">
        <v>141</v>
      </c>
      <c r="B90" s="92">
        <v>8.0</v>
      </c>
      <c r="C90" s="42"/>
      <c r="D90" s="41">
        <v>4.0</v>
      </c>
      <c r="E90" s="42"/>
      <c r="F90" s="42"/>
      <c r="G90" s="42"/>
      <c r="H90" s="42"/>
      <c r="I90" s="62"/>
      <c r="J90" s="43">
        <v>4.0</v>
      </c>
      <c r="K90" s="62"/>
      <c r="L90" s="82">
        <f>8*E142</f>
        <v>60000</v>
      </c>
      <c r="S90" s="1"/>
      <c r="T90" s="1"/>
      <c r="U90" s="1"/>
      <c r="V90" s="1"/>
      <c r="W90" s="1"/>
      <c r="X90" s="1"/>
      <c r="Y90" s="1"/>
      <c r="Z90" s="1"/>
    </row>
    <row r="91" ht="14.25" customHeight="1">
      <c r="A91" s="85" t="s">
        <v>142</v>
      </c>
      <c r="B91" s="92">
        <v>5.0</v>
      </c>
      <c r="C91" s="42"/>
      <c r="D91" s="41">
        <v>2.5</v>
      </c>
      <c r="E91" s="42"/>
      <c r="F91" s="42"/>
      <c r="G91" s="42"/>
      <c r="H91" s="42"/>
      <c r="I91" s="62"/>
      <c r="J91" s="43">
        <v>2.5</v>
      </c>
      <c r="K91" s="62"/>
      <c r="L91" s="82">
        <f>5*E142</f>
        <v>37500</v>
      </c>
      <c r="S91" s="1"/>
      <c r="T91" s="1"/>
      <c r="U91" s="1"/>
      <c r="V91" s="1"/>
      <c r="W91" s="1"/>
      <c r="X91" s="1"/>
      <c r="Y91" s="1"/>
      <c r="Z91" s="1"/>
    </row>
    <row r="92" ht="14.25" customHeight="1">
      <c r="A92" s="85" t="s">
        <v>143</v>
      </c>
      <c r="B92" s="92">
        <v>3.0</v>
      </c>
      <c r="C92" s="42"/>
      <c r="D92" s="42"/>
      <c r="E92" s="42"/>
      <c r="F92" s="42"/>
      <c r="G92" s="41">
        <v>3.0</v>
      </c>
      <c r="H92" s="42"/>
      <c r="I92" s="62"/>
      <c r="J92" s="62"/>
      <c r="K92" s="62"/>
      <c r="L92" s="82">
        <f>3*E145</f>
        <v>18750</v>
      </c>
      <c r="S92" s="1"/>
      <c r="T92" s="1"/>
      <c r="U92" s="1"/>
      <c r="V92" s="1"/>
      <c r="W92" s="1"/>
      <c r="X92" s="1"/>
      <c r="Y92" s="1"/>
      <c r="Z92" s="1"/>
    </row>
    <row r="93" ht="14.25" customHeight="1">
      <c r="A93" s="85" t="s">
        <v>144</v>
      </c>
      <c r="B93" s="92">
        <v>2.0</v>
      </c>
      <c r="C93" s="42"/>
      <c r="D93" s="42"/>
      <c r="E93" s="42"/>
      <c r="F93" s="42"/>
      <c r="G93" s="42"/>
      <c r="H93" s="41">
        <v>2.0</v>
      </c>
      <c r="I93" s="62"/>
      <c r="J93" s="62"/>
      <c r="K93" s="62"/>
      <c r="L93" s="82">
        <f>2*E146</f>
        <v>15000</v>
      </c>
      <c r="S93" s="1"/>
      <c r="T93" s="1"/>
      <c r="U93" s="1"/>
      <c r="V93" s="1"/>
      <c r="W93" s="1"/>
      <c r="X93" s="1"/>
      <c r="Y93" s="1"/>
      <c r="Z93" s="1"/>
    </row>
    <row r="94" ht="14.25" customHeight="1">
      <c r="A94" s="84" t="s">
        <v>145</v>
      </c>
      <c r="B94" s="92">
        <v>8.0</v>
      </c>
      <c r="C94" s="42"/>
      <c r="D94" s="41">
        <v>4.0</v>
      </c>
      <c r="E94" s="42"/>
      <c r="F94" s="42"/>
      <c r="G94" s="42"/>
      <c r="H94" s="42"/>
      <c r="I94" s="62"/>
      <c r="J94" s="43">
        <v>4.0</v>
      </c>
      <c r="K94" s="62"/>
      <c r="L94" s="82">
        <f>8*E142</f>
        <v>60000</v>
      </c>
      <c r="S94" s="1"/>
      <c r="T94" s="1"/>
      <c r="U94" s="1"/>
      <c r="V94" s="1"/>
      <c r="W94" s="1"/>
      <c r="X94" s="1"/>
      <c r="Y94" s="1"/>
      <c r="Z94" s="1"/>
    </row>
    <row r="95" ht="14.25" customHeight="1">
      <c r="A95" s="84" t="s">
        <v>146</v>
      </c>
      <c r="B95" s="92">
        <v>4.0</v>
      </c>
      <c r="C95" s="42"/>
      <c r="D95" s="41">
        <v>2.0</v>
      </c>
      <c r="E95" s="42"/>
      <c r="F95" s="42"/>
      <c r="G95" s="42"/>
      <c r="H95" s="42"/>
      <c r="I95" s="62"/>
      <c r="J95" s="43">
        <v>2.0</v>
      </c>
      <c r="K95" s="62"/>
      <c r="L95" s="82">
        <f>4*E148</f>
        <v>30000</v>
      </c>
      <c r="S95" s="1"/>
      <c r="T95" s="1"/>
      <c r="U95" s="1"/>
      <c r="V95" s="1"/>
      <c r="W95" s="1"/>
      <c r="X95" s="1"/>
      <c r="Y95" s="1"/>
      <c r="Z95" s="1"/>
    </row>
    <row r="96" ht="14.25" customHeight="1">
      <c r="A96" s="84" t="s">
        <v>147</v>
      </c>
      <c r="B96" s="92">
        <v>3.0</v>
      </c>
      <c r="C96" s="42"/>
      <c r="D96" s="42"/>
      <c r="E96" s="42"/>
      <c r="F96" s="42"/>
      <c r="G96" s="41">
        <v>3.0</v>
      </c>
      <c r="H96" s="42"/>
      <c r="I96" s="62"/>
      <c r="J96" s="62"/>
      <c r="K96" s="62"/>
      <c r="L96" s="82">
        <f>3*E145</f>
        <v>18750</v>
      </c>
      <c r="S96" s="1"/>
      <c r="T96" s="1"/>
      <c r="U96" s="1"/>
      <c r="V96" s="1"/>
      <c r="W96" s="1"/>
      <c r="X96" s="1"/>
      <c r="Y96" s="1"/>
      <c r="Z96" s="1"/>
    </row>
    <row r="97" ht="30.75" customHeight="1">
      <c r="A97" s="85" t="s">
        <v>148</v>
      </c>
      <c r="B97" s="92">
        <v>2.0</v>
      </c>
      <c r="C97" s="42"/>
      <c r="D97" s="42"/>
      <c r="E97" s="42"/>
      <c r="F97" s="42"/>
      <c r="G97" s="42"/>
      <c r="H97" s="41">
        <v>2.0</v>
      </c>
      <c r="I97" s="62"/>
      <c r="J97" s="62"/>
      <c r="K97" s="62"/>
      <c r="L97" s="82">
        <f>2*E146</f>
        <v>15000</v>
      </c>
      <c r="S97" s="1"/>
      <c r="T97" s="1"/>
      <c r="U97" s="1"/>
      <c r="V97" s="1"/>
      <c r="W97" s="1"/>
      <c r="X97" s="1"/>
      <c r="Y97" s="1"/>
      <c r="Z97" s="1"/>
    </row>
    <row r="98" ht="14.25" customHeight="1">
      <c r="A98" s="84" t="s">
        <v>149</v>
      </c>
      <c r="B98" s="92">
        <v>8.0</v>
      </c>
      <c r="C98" s="42"/>
      <c r="D98" s="42"/>
      <c r="E98" s="41">
        <v>4.0</v>
      </c>
      <c r="F98" s="42"/>
      <c r="G98" s="42"/>
      <c r="H98" s="42"/>
      <c r="I98" s="62"/>
      <c r="J98" s="62"/>
      <c r="K98" s="43">
        <v>4.0</v>
      </c>
      <c r="L98" s="82">
        <f>8*E143</f>
        <v>50000</v>
      </c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84" t="s">
        <v>150</v>
      </c>
      <c r="B99" s="92">
        <v>2.0</v>
      </c>
      <c r="C99" s="42"/>
      <c r="D99" s="41">
        <v>1.0</v>
      </c>
      <c r="E99" s="42"/>
      <c r="F99" s="42"/>
      <c r="G99" s="42"/>
      <c r="H99" s="42"/>
      <c r="I99" s="62"/>
      <c r="J99" s="43">
        <v>1.0</v>
      </c>
      <c r="K99" s="62"/>
      <c r="L99" s="82">
        <f>2*E148</f>
        <v>15000</v>
      </c>
      <c r="M99" s="69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75" customHeight="1">
      <c r="A100" s="84" t="s">
        <v>151</v>
      </c>
      <c r="B100" s="92">
        <v>2.0</v>
      </c>
      <c r="C100" s="42"/>
      <c r="D100" s="42"/>
      <c r="E100" s="42"/>
      <c r="F100" s="42"/>
      <c r="G100" s="41">
        <v>2.0</v>
      </c>
      <c r="H100" s="42"/>
      <c r="I100" s="62"/>
      <c r="J100" s="62"/>
      <c r="K100" s="62"/>
      <c r="L100" s="82">
        <f t="shared" ref="L100:L101" si="3">2*E145</f>
        <v>12500</v>
      </c>
      <c r="M100" s="69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84" t="s">
        <v>152</v>
      </c>
      <c r="B101" s="92">
        <v>2.0</v>
      </c>
      <c r="C101" s="42"/>
      <c r="D101" s="42"/>
      <c r="E101" s="42"/>
      <c r="F101" s="42"/>
      <c r="G101" s="42"/>
      <c r="H101" s="41">
        <v>2.0</v>
      </c>
      <c r="I101" s="62"/>
      <c r="J101" s="62"/>
      <c r="K101" s="62"/>
      <c r="L101" s="82">
        <f t="shared" si="3"/>
        <v>15000</v>
      </c>
      <c r="M101" s="69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84" t="s">
        <v>153</v>
      </c>
      <c r="B102" s="92">
        <v>6.0</v>
      </c>
      <c r="C102" s="42"/>
      <c r="D102" s="42"/>
      <c r="E102" s="41">
        <v>3.0</v>
      </c>
      <c r="F102" s="42"/>
      <c r="G102" s="42"/>
      <c r="H102" s="42"/>
      <c r="I102" s="62"/>
      <c r="J102" s="62"/>
      <c r="K102" s="43">
        <v>3.0</v>
      </c>
      <c r="L102" s="82">
        <f>6*E149</f>
        <v>37500</v>
      </c>
      <c r="M102" s="69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84" t="s">
        <v>154</v>
      </c>
      <c r="B103" s="92">
        <v>8.0</v>
      </c>
      <c r="C103" s="42"/>
      <c r="D103" s="41">
        <v>4.0</v>
      </c>
      <c r="E103" s="42"/>
      <c r="F103" s="42"/>
      <c r="G103" s="42"/>
      <c r="H103" s="42"/>
      <c r="I103" s="62"/>
      <c r="J103" s="43">
        <v>4.0</v>
      </c>
      <c r="K103" s="62"/>
      <c r="L103" s="82">
        <f>8*E148</f>
        <v>60000</v>
      </c>
      <c r="M103" s="69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84" t="s">
        <v>155</v>
      </c>
      <c r="B104" s="92">
        <v>2.0</v>
      </c>
      <c r="C104" s="42"/>
      <c r="D104" s="42"/>
      <c r="E104" s="42"/>
      <c r="F104" s="42"/>
      <c r="G104" s="41">
        <v>2.0</v>
      </c>
      <c r="H104" s="42"/>
      <c r="I104" s="62"/>
      <c r="J104" s="62"/>
      <c r="K104" s="62"/>
      <c r="L104" s="82">
        <f>2*E145</f>
        <v>12500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15" t="s">
        <v>156</v>
      </c>
      <c r="B105" s="116" t="s">
        <v>15</v>
      </c>
      <c r="C105" s="117" t="s">
        <v>16</v>
      </c>
      <c r="D105" s="117" t="s">
        <v>17</v>
      </c>
      <c r="E105" s="117" t="s">
        <v>18</v>
      </c>
      <c r="F105" s="117" t="s">
        <v>19</v>
      </c>
      <c r="G105" s="117" t="s">
        <v>20</v>
      </c>
      <c r="H105" s="117" t="s">
        <v>22</v>
      </c>
      <c r="I105" s="117" t="s">
        <v>23</v>
      </c>
      <c r="J105" s="117" t="s">
        <v>25</v>
      </c>
      <c r="K105" s="117" t="s">
        <v>27</v>
      </c>
      <c r="L105" s="117" t="s">
        <v>28</v>
      </c>
      <c r="M105" s="69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73" t="s">
        <v>157</v>
      </c>
      <c r="B106" s="92">
        <v>1.0</v>
      </c>
      <c r="C106" s="42"/>
      <c r="D106" s="42"/>
      <c r="E106" s="42"/>
      <c r="F106" s="42"/>
      <c r="G106" s="42"/>
      <c r="H106" s="41">
        <v>1.0</v>
      </c>
      <c r="I106" s="62"/>
      <c r="J106" s="62"/>
      <c r="K106" s="62"/>
      <c r="L106" s="45">
        <v>7500.0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73" t="s">
        <v>158</v>
      </c>
      <c r="B107" s="92">
        <v>2.0</v>
      </c>
      <c r="C107" s="42"/>
      <c r="D107" s="42"/>
      <c r="E107" s="42"/>
      <c r="F107" s="42"/>
      <c r="G107" s="42"/>
      <c r="H107" s="42"/>
      <c r="I107" s="62"/>
      <c r="J107" s="62"/>
      <c r="K107" s="43">
        <v>2.0</v>
      </c>
      <c r="L107" s="82">
        <f>2*E149</f>
        <v>12500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73" t="s">
        <v>159</v>
      </c>
      <c r="B108" s="92">
        <v>8.0</v>
      </c>
      <c r="C108" s="42"/>
      <c r="D108" s="41">
        <v>4.0</v>
      </c>
      <c r="E108" s="42"/>
      <c r="F108" s="42"/>
      <c r="G108" s="42"/>
      <c r="H108" s="42"/>
      <c r="I108" s="62"/>
      <c r="J108" s="43">
        <v>4.0</v>
      </c>
      <c r="K108" s="62"/>
      <c r="L108" s="82">
        <f>8*E142</f>
        <v>60000</v>
      </c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73" t="s">
        <v>160</v>
      </c>
      <c r="B109" s="92">
        <v>1.0</v>
      </c>
      <c r="C109" s="42"/>
      <c r="D109" s="42"/>
      <c r="E109" s="42"/>
      <c r="F109" s="42"/>
      <c r="G109" s="41">
        <v>1.0</v>
      </c>
      <c r="H109" s="42"/>
      <c r="I109" s="62"/>
      <c r="J109" s="62"/>
      <c r="K109" s="62"/>
      <c r="L109" s="45">
        <v>6250.0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73" t="s">
        <v>161</v>
      </c>
      <c r="B110" s="92">
        <v>1.0</v>
      </c>
      <c r="C110" s="42"/>
      <c r="D110" s="42"/>
      <c r="E110" s="42"/>
      <c r="F110" s="42"/>
      <c r="G110" s="41">
        <v>1.0</v>
      </c>
      <c r="H110" s="42"/>
      <c r="I110" s="62"/>
      <c r="J110" s="62"/>
      <c r="K110" s="62"/>
      <c r="L110" s="45">
        <v>6250.0</v>
      </c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73" t="s">
        <v>162</v>
      </c>
      <c r="B111" s="92">
        <v>3.0</v>
      </c>
      <c r="C111" s="42"/>
      <c r="D111" s="42"/>
      <c r="E111" s="42"/>
      <c r="F111" s="42"/>
      <c r="G111" s="42"/>
      <c r="H111" s="42"/>
      <c r="I111" s="62"/>
      <c r="J111" s="62"/>
      <c r="K111" s="43">
        <v>3.0</v>
      </c>
      <c r="L111" s="82">
        <f>3*E149</f>
        <v>18750</v>
      </c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73" t="s">
        <v>163</v>
      </c>
      <c r="B112" s="92">
        <v>8.0</v>
      </c>
      <c r="C112" s="42"/>
      <c r="D112" s="41">
        <v>4.0</v>
      </c>
      <c r="E112" s="42"/>
      <c r="F112" s="42"/>
      <c r="G112" s="42"/>
      <c r="H112" s="42"/>
      <c r="I112" s="62"/>
      <c r="J112" s="43">
        <v>4.0</v>
      </c>
      <c r="K112" s="62"/>
      <c r="L112" s="82">
        <f>8*E142</f>
        <v>60000</v>
      </c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73" t="s">
        <v>164</v>
      </c>
      <c r="B113" s="92">
        <v>3.0</v>
      </c>
      <c r="C113" s="42"/>
      <c r="D113" s="42"/>
      <c r="E113" s="42"/>
      <c r="F113" s="42"/>
      <c r="G113" s="41">
        <v>3.0</v>
      </c>
      <c r="H113" s="42"/>
      <c r="I113" s="62"/>
      <c r="J113" s="62"/>
      <c r="K113" s="62"/>
      <c r="L113" s="82">
        <f>3*E145</f>
        <v>18750</v>
      </c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85" t="s">
        <v>165</v>
      </c>
      <c r="B114" s="92">
        <v>1.0</v>
      </c>
      <c r="C114" s="42"/>
      <c r="D114" s="42"/>
      <c r="E114" s="42"/>
      <c r="F114" s="42"/>
      <c r="G114" s="42"/>
      <c r="H114" s="41">
        <v>1.0</v>
      </c>
      <c r="I114" s="62"/>
      <c r="J114" s="62"/>
      <c r="K114" s="62"/>
      <c r="L114" s="45">
        <v>7500.0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84" t="s">
        <v>166</v>
      </c>
      <c r="B115" s="92">
        <v>2.0</v>
      </c>
      <c r="C115" s="42"/>
      <c r="D115" s="42"/>
      <c r="E115" s="41">
        <v>1.0</v>
      </c>
      <c r="F115" s="42"/>
      <c r="G115" s="42"/>
      <c r="H115" s="42"/>
      <c r="I115" s="62"/>
      <c r="J115" s="62"/>
      <c r="K115" s="43">
        <v>1.0</v>
      </c>
      <c r="L115" s="82">
        <f>2*E143</f>
        <v>12500</v>
      </c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84" t="s">
        <v>167</v>
      </c>
      <c r="B116" s="92">
        <v>7.0</v>
      </c>
      <c r="C116" s="42"/>
      <c r="D116" s="41">
        <v>3.5</v>
      </c>
      <c r="E116" s="42"/>
      <c r="F116" s="42"/>
      <c r="G116" s="42"/>
      <c r="H116" s="42"/>
      <c r="I116" s="62"/>
      <c r="J116" s="43">
        <v>3.5</v>
      </c>
      <c r="K116" s="62"/>
      <c r="L116" s="82">
        <f>7*E142</f>
        <v>52500</v>
      </c>
      <c r="M116" s="69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84" t="s">
        <v>168</v>
      </c>
      <c r="B117" s="92">
        <v>2.0</v>
      </c>
      <c r="C117" s="42"/>
      <c r="D117" s="42"/>
      <c r="E117" s="42"/>
      <c r="F117" s="42"/>
      <c r="G117" s="41">
        <v>2.0</v>
      </c>
      <c r="H117" s="42"/>
      <c r="I117" s="62"/>
      <c r="J117" s="62"/>
      <c r="K117" s="62"/>
      <c r="L117" s="82">
        <f>2*E145</f>
        <v>12500</v>
      </c>
      <c r="M117" s="69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15" t="s">
        <v>156</v>
      </c>
      <c r="B118" s="116" t="s">
        <v>15</v>
      </c>
      <c r="C118" s="117" t="s">
        <v>16</v>
      </c>
      <c r="D118" s="117" t="s">
        <v>17</v>
      </c>
      <c r="E118" s="117" t="s">
        <v>18</v>
      </c>
      <c r="F118" s="117" t="s">
        <v>19</v>
      </c>
      <c r="G118" s="117" t="s">
        <v>20</v>
      </c>
      <c r="H118" s="117" t="s">
        <v>22</v>
      </c>
      <c r="I118" s="117" t="s">
        <v>23</v>
      </c>
      <c r="J118" s="117" t="s">
        <v>25</v>
      </c>
      <c r="K118" s="117" t="s">
        <v>27</v>
      </c>
      <c r="L118" s="117" t="s">
        <v>28</v>
      </c>
      <c r="M118" s="69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85" t="s">
        <v>169</v>
      </c>
      <c r="B119" s="92">
        <v>2.0</v>
      </c>
      <c r="C119" s="42"/>
      <c r="D119" s="42"/>
      <c r="E119" s="42"/>
      <c r="F119" s="42"/>
      <c r="G119" s="42"/>
      <c r="H119" s="41">
        <v>2.0</v>
      </c>
      <c r="I119" s="62"/>
      <c r="J119" s="62"/>
      <c r="K119" s="62"/>
      <c r="L119" s="82">
        <f>2*E146</f>
        <v>15000</v>
      </c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85" t="s">
        <v>170</v>
      </c>
      <c r="B120" s="92">
        <v>5.0</v>
      </c>
      <c r="C120" s="42"/>
      <c r="D120" s="41">
        <v>2.5</v>
      </c>
      <c r="E120" s="42"/>
      <c r="F120" s="42"/>
      <c r="G120" s="42"/>
      <c r="H120" s="42"/>
      <c r="I120" s="62"/>
      <c r="J120" s="43">
        <v>2.5</v>
      </c>
      <c r="K120" s="62"/>
      <c r="L120" s="111">
        <f>5*E142</f>
        <v>37500</v>
      </c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85" t="s">
        <v>171</v>
      </c>
      <c r="B121" s="92">
        <v>6.0</v>
      </c>
      <c r="C121" s="42"/>
      <c r="D121" s="41">
        <v>3.0</v>
      </c>
      <c r="E121" s="42"/>
      <c r="F121" s="42"/>
      <c r="G121" s="42"/>
      <c r="H121" s="42"/>
      <c r="I121" s="62"/>
      <c r="J121" s="43">
        <v>3.0</v>
      </c>
      <c r="K121" s="62"/>
      <c r="L121" s="82">
        <f>6*E142</f>
        <v>45000</v>
      </c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85" t="s">
        <v>172</v>
      </c>
      <c r="B122" s="92">
        <v>1.0</v>
      </c>
      <c r="C122" s="42"/>
      <c r="D122" s="42"/>
      <c r="E122" s="42"/>
      <c r="F122" s="42"/>
      <c r="G122" s="41">
        <v>1.0</v>
      </c>
      <c r="H122" s="42"/>
      <c r="I122" s="62"/>
      <c r="J122" s="62"/>
      <c r="K122" s="62"/>
      <c r="L122" s="45">
        <v>6250.0</v>
      </c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85" t="s">
        <v>173</v>
      </c>
      <c r="B123" s="92">
        <v>1.0</v>
      </c>
      <c r="C123" s="42"/>
      <c r="D123" s="42"/>
      <c r="E123" s="42"/>
      <c r="F123" s="42"/>
      <c r="G123" s="42"/>
      <c r="H123" s="41">
        <v>1.0</v>
      </c>
      <c r="I123" s="62"/>
      <c r="J123" s="62"/>
      <c r="K123" s="62"/>
      <c r="L123" s="45">
        <v>7500.0</v>
      </c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84" t="s">
        <v>174</v>
      </c>
      <c r="B124" s="92">
        <v>8.0</v>
      </c>
      <c r="C124" s="42"/>
      <c r="D124" s="42"/>
      <c r="E124" s="41">
        <v>4.0</v>
      </c>
      <c r="F124" s="42"/>
      <c r="G124" s="42"/>
      <c r="H124" s="42"/>
      <c r="I124" s="62"/>
      <c r="J124" s="43">
        <v>4.0</v>
      </c>
      <c r="K124" s="62"/>
      <c r="L124" s="82">
        <f>(E124*E143)+(J124*E148)</f>
        <v>55000</v>
      </c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84" t="s">
        <v>175</v>
      </c>
      <c r="B125" s="92">
        <v>6.0</v>
      </c>
      <c r="C125" s="42"/>
      <c r="D125" s="41">
        <v>3.0</v>
      </c>
      <c r="E125" s="42"/>
      <c r="F125" s="42"/>
      <c r="G125" s="42"/>
      <c r="H125" s="42"/>
      <c r="I125" s="62"/>
      <c r="J125" s="43">
        <v>3.0</v>
      </c>
      <c r="K125" s="62"/>
      <c r="L125" s="82">
        <f>6*E142</f>
        <v>45000</v>
      </c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84" t="s">
        <v>176</v>
      </c>
      <c r="B126" s="92">
        <v>2.0</v>
      </c>
      <c r="C126" s="42"/>
      <c r="D126" s="42"/>
      <c r="E126" s="42"/>
      <c r="F126" s="42"/>
      <c r="G126" s="41">
        <v>2.0</v>
      </c>
      <c r="H126" s="42"/>
      <c r="I126" s="62"/>
      <c r="J126" s="62"/>
      <c r="K126" s="62"/>
      <c r="L126" s="82">
        <f t="shared" ref="L126:L127" si="4">2*E145</f>
        <v>12500</v>
      </c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85" t="s">
        <v>177</v>
      </c>
      <c r="B127" s="92">
        <v>2.0</v>
      </c>
      <c r="C127" s="42"/>
      <c r="D127" s="42"/>
      <c r="E127" s="42"/>
      <c r="F127" s="42"/>
      <c r="G127" s="42"/>
      <c r="H127" s="41">
        <v>2.0</v>
      </c>
      <c r="I127" s="62"/>
      <c r="J127" s="62"/>
      <c r="K127" s="62"/>
      <c r="L127" s="82">
        <f t="shared" si="4"/>
        <v>15000</v>
      </c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84" t="s">
        <v>178</v>
      </c>
      <c r="B128" s="92">
        <v>2.0</v>
      </c>
      <c r="C128" s="42"/>
      <c r="D128" s="41">
        <v>1.0</v>
      </c>
      <c r="E128" s="42"/>
      <c r="F128" s="42"/>
      <c r="G128" s="42"/>
      <c r="H128" s="42"/>
      <c r="I128" s="62"/>
      <c r="J128" s="43">
        <v>1.0</v>
      </c>
      <c r="K128" s="62"/>
      <c r="L128" s="82">
        <f>2*E148</f>
        <v>15000</v>
      </c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84" t="s">
        <v>179</v>
      </c>
      <c r="B129" s="92">
        <v>4.0</v>
      </c>
      <c r="C129" s="42"/>
      <c r="D129" s="41">
        <v>2.0</v>
      </c>
      <c r="E129" s="42"/>
      <c r="F129" s="42"/>
      <c r="G129" s="42"/>
      <c r="H129" s="42"/>
      <c r="I129" s="62"/>
      <c r="J129" s="43">
        <v>2.0</v>
      </c>
      <c r="K129" s="62"/>
      <c r="L129" s="82">
        <f>4*E148</f>
        <v>30000</v>
      </c>
      <c r="M129" s="69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84" t="s">
        <v>180</v>
      </c>
      <c r="B130" s="92">
        <v>2.0</v>
      </c>
      <c r="C130" s="42"/>
      <c r="D130" s="42"/>
      <c r="E130" s="42"/>
      <c r="F130" s="42"/>
      <c r="G130" s="41">
        <v>2.0</v>
      </c>
      <c r="H130" s="42"/>
      <c r="I130" s="62"/>
      <c r="J130" s="62"/>
      <c r="K130" s="62"/>
      <c r="L130" s="82">
        <f>2*E145</f>
        <v>12500</v>
      </c>
      <c r="M130" s="69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18" t="s">
        <v>181</v>
      </c>
      <c r="B131" s="119" t="s">
        <v>15</v>
      </c>
      <c r="C131" s="120" t="s">
        <v>16</v>
      </c>
      <c r="D131" s="120" t="s">
        <v>17</v>
      </c>
      <c r="E131" s="120" t="s">
        <v>18</v>
      </c>
      <c r="F131" s="120" t="s">
        <v>19</v>
      </c>
      <c r="G131" s="120" t="s">
        <v>20</v>
      </c>
      <c r="H131" s="120" t="s">
        <v>22</v>
      </c>
      <c r="I131" s="120" t="s">
        <v>23</v>
      </c>
      <c r="J131" s="120" t="s">
        <v>25</v>
      </c>
      <c r="K131" s="120" t="s">
        <v>27</v>
      </c>
      <c r="L131" s="120" t="s">
        <v>28</v>
      </c>
      <c r="M131" s="69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21" t="s">
        <v>182</v>
      </c>
      <c r="B132" s="122">
        <v>5.0</v>
      </c>
      <c r="C132" s="42"/>
      <c r="D132" s="41">
        <v>2.0</v>
      </c>
      <c r="E132" s="42"/>
      <c r="F132" s="42"/>
      <c r="G132" s="42"/>
      <c r="H132" s="41">
        <v>2.0</v>
      </c>
      <c r="I132" s="62"/>
      <c r="J132" s="43">
        <v>1.0</v>
      </c>
      <c r="K132" s="62"/>
      <c r="L132" s="82">
        <f>5*E148</f>
        <v>37500</v>
      </c>
      <c r="M132" s="69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23" t="s">
        <v>183</v>
      </c>
      <c r="B133" s="122">
        <v>5.0</v>
      </c>
      <c r="C133" s="42"/>
      <c r="D133" s="41">
        <v>2.0</v>
      </c>
      <c r="E133" s="42"/>
      <c r="F133" s="42"/>
      <c r="G133" s="42"/>
      <c r="H133" s="41">
        <v>2.0</v>
      </c>
      <c r="I133" s="62"/>
      <c r="J133" s="43">
        <v>1.0</v>
      </c>
      <c r="K133" s="62"/>
      <c r="L133" s="82">
        <f>5*E148</f>
        <v>37500</v>
      </c>
      <c r="M133" s="69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21" t="s">
        <v>184</v>
      </c>
      <c r="B134" s="122">
        <v>3.0</v>
      </c>
      <c r="C134" s="41">
        <v>2.0</v>
      </c>
      <c r="D134" s="42"/>
      <c r="E134" s="42"/>
      <c r="F134" s="41">
        <v>1.0</v>
      </c>
      <c r="G134" s="42"/>
      <c r="H134" s="42"/>
      <c r="I134" s="62"/>
      <c r="J134" s="62"/>
      <c r="K134" s="62"/>
      <c r="L134" s="82">
        <f>(2*E141)+(F134*E144)</f>
        <v>23750</v>
      </c>
      <c r="M134" s="69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21" t="s">
        <v>185</v>
      </c>
      <c r="B135" s="122">
        <v>1.0</v>
      </c>
      <c r="C135" s="41">
        <v>1.0</v>
      </c>
      <c r="D135" s="42"/>
      <c r="E135" s="42"/>
      <c r="F135" s="42"/>
      <c r="G135" s="42"/>
      <c r="H135" s="42"/>
      <c r="I135" s="62"/>
      <c r="J135" s="62"/>
      <c r="K135" s="62"/>
      <c r="L135" s="82">
        <f>1*E141</f>
        <v>8125</v>
      </c>
      <c r="M135" s="69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24" t="s">
        <v>186</v>
      </c>
      <c r="B136" s="122">
        <v>2.0</v>
      </c>
      <c r="C136" s="41">
        <v>2.0</v>
      </c>
      <c r="D136" s="42"/>
      <c r="E136" s="42"/>
      <c r="F136" s="42"/>
      <c r="G136" s="42"/>
      <c r="H136" s="42"/>
      <c r="I136" s="62"/>
      <c r="J136" s="62"/>
      <c r="K136" s="62"/>
      <c r="L136" s="82">
        <f>C136*E141</f>
        <v>16250</v>
      </c>
      <c r="M136" s="69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25"/>
      <c r="B137" s="126" t="s">
        <v>15</v>
      </c>
      <c r="C137" s="127" t="s">
        <v>16</v>
      </c>
      <c r="D137" s="127" t="s">
        <v>17</v>
      </c>
      <c r="E137" s="127" t="s">
        <v>18</v>
      </c>
      <c r="F137" s="127" t="s">
        <v>19</v>
      </c>
      <c r="G137" s="127" t="s">
        <v>20</v>
      </c>
      <c r="H137" s="127" t="s">
        <v>22</v>
      </c>
      <c r="I137" s="128" t="s">
        <v>23</v>
      </c>
      <c r="J137" s="128" t="s">
        <v>25</v>
      </c>
      <c r="K137" s="128" t="s">
        <v>27</v>
      </c>
      <c r="L137" s="129"/>
      <c r="M137" s="69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30" t="s">
        <v>187</v>
      </c>
      <c r="B138" s="131">
        <f t="shared" ref="B138:L138" si="5">SUM(B6:B136)</f>
        <v>463</v>
      </c>
      <c r="C138" s="131">
        <f t="shared" si="5"/>
        <v>17</v>
      </c>
      <c r="D138" s="131">
        <f t="shared" si="5"/>
        <v>120</v>
      </c>
      <c r="E138" s="131">
        <f t="shared" si="5"/>
        <v>16</v>
      </c>
      <c r="F138" s="131">
        <f t="shared" si="5"/>
        <v>15</v>
      </c>
      <c r="G138" s="131">
        <f t="shared" si="5"/>
        <v>71</v>
      </c>
      <c r="H138" s="131">
        <f t="shared" si="5"/>
        <v>51</v>
      </c>
      <c r="I138" s="132">
        <f t="shared" si="5"/>
        <v>13</v>
      </c>
      <c r="J138" s="132">
        <f t="shared" si="5"/>
        <v>141</v>
      </c>
      <c r="K138" s="132">
        <f t="shared" si="5"/>
        <v>19</v>
      </c>
      <c r="L138" s="133">
        <f t="shared" si="5"/>
        <v>3375000</v>
      </c>
      <c r="M138" s="69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91"/>
      <c r="B139" s="134"/>
      <c r="C139" s="135"/>
      <c r="D139" s="135"/>
      <c r="E139" s="135"/>
      <c r="F139" s="135"/>
      <c r="G139" s="135"/>
      <c r="H139" s="135"/>
      <c r="I139" s="91"/>
      <c r="J139" s="91"/>
      <c r="K139" s="91"/>
      <c r="L139" s="9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34" t="s">
        <v>29</v>
      </c>
      <c r="B140" s="34" t="s">
        <v>2</v>
      </c>
      <c r="C140" s="35" t="s">
        <v>31</v>
      </c>
      <c r="D140" s="8"/>
      <c r="E140" s="37" t="s">
        <v>33</v>
      </c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43" t="s">
        <v>16</v>
      </c>
      <c r="B141" s="46" t="s">
        <v>39</v>
      </c>
      <c r="C141" s="43" t="s">
        <v>41</v>
      </c>
      <c r="D141" s="48"/>
      <c r="E141" s="50">
        <v>8125.0</v>
      </c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43" t="s">
        <v>17</v>
      </c>
      <c r="B142" s="46" t="s">
        <v>45</v>
      </c>
      <c r="C142" s="43" t="s">
        <v>41</v>
      </c>
      <c r="D142" s="48"/>
      <c r="E142" s="45">
        <v>7500.0</v>
      </c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43" t="s">
        <v>18</v>
      </c>
      <c r="B143" s="46" t="s">
        <v>47</v>
      </c>
      <c r="C143" s="43" t="s">
        <v>41</v>
      </c>
      <c r="D143" s="48"/>
      <c r="E143" s="45">
        <v>6250.0</v>
      </c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43" t="s">
        <v>19</v>
      </c>
      <c r="B144" s="46" t="s">
        <v>49</v>
      </c>
      <c r="C144" s="43" t="s">
        <v>50</v>
      </c>
      <c r="D144" s="48"/>
      <c r="E144" s="45">
        <v>7500.0</v>
      </c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43" t="s">
        <v>20</v>
      </c>
      <c r="B145" s="46" t="s">
        <v>52</v>
      </c>
      <c r="C145" s="43" t="s">
        <v>50</v>
      </c>
      <c r="D145" s="48"/>
      <c r="E145" s="45">
        <v>6250.0</v>
      </c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43" t="s">
        <v>22</v>
      </c>
      <c r="B146" s="46" t="s">
        <v>54</v>
      </c>
      <c r="C146" s="43" t="s">
        <v>50</v>
      </c>
      <c r="D146" s="48"/>
      <c r="E146" s="45">
        <v>7500.0</v>
      </c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43" t="s">
        <v>23</v>
      </c>
      <c r="B147" s="61" t="s">
        <v>56</v>
      </c>
      <c r="C147" s="43" t="s">
        <v>57</v>
      </c>
      <c r="D147" s="62"/>
      <c r="E147" s="45">
        <v>9375.0</v>
      </c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43" t="s">
        <v>25</v>
      </c>
      <c r="B148" s="46" t="s">
        <v>45</v>
      </c>
      <c r="C148" s="43" t="s">
        <v>57</v>
      </c>
      <c r="D148" s="62"/>
      <c r="E148" s="45">
        <v>7500.0</v>
      </c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43" t="s">
        <v>27</v>
      </c>
      <c r="B149" s="61" t="s">
        <v>47</v>
      </c>
      <c r="C149" s="43" t="s">
        <v>57</v>
      </c>
      <c r="D149" s="62"/>
      <c r="E149" s="45">
        <v>6250.0</v>
      </c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3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3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3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3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3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3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3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3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3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3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3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3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3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3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3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3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3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3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3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3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3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3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3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3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3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3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3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3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3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3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3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3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3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3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3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3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3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3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3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3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3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3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3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3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3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3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3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3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3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3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3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3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3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3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3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3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3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3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3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3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3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3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3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3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3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3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3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3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3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3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3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3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3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3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3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3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3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3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3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3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3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3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3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3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3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3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3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3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3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3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3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3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3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3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3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3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3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3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3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3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3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3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3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3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3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3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3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3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3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3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3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3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3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3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3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3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3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3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3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3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3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3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3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3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3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3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3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3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3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3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3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3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3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3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3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3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3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3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3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3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3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3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3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3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3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3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3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3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3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3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3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3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3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3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3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3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3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3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3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3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3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3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3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3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3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3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3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3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3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3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3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3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3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3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3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3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3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3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3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3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3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3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3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3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3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3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3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3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3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3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3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3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3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3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3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3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3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3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3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3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3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3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3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3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3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3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3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3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3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3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3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3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3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3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3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3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3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3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3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3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3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3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3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3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3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3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3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3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3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3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3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3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3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3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3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3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3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3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3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3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3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3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3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3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3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3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3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3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3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3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3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3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3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3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3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3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3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3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3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3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3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3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3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3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3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3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3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3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3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3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3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3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3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3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3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3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3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3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3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3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3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3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3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3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3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3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3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3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3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3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3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3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3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3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3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3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3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3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3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3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3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3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3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3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3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3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3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3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3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3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3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3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3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3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3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3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3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3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3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3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3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3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3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3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3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3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3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3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3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3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3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3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3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3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3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3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3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3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3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3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3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3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3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3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3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3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3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3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3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3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3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3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3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3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3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3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3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3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3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3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3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3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3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3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3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3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3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3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3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3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3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3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3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3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3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3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3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3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3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3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3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3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3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3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3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3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3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3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3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3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3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3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3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3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3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3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3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3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3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3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3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3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3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3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3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3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3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3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3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3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3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3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3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3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3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3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3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3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3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3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3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3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3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3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3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3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3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3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3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3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3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3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3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3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3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3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3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3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3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3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3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3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3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3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3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3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3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3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3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3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3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3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3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3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3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3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3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3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3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3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3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3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3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3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3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3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3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3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3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3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3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3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3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3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3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3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3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3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3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3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3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3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3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3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3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3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3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3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3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3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3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3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3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3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3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3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3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3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3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3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3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3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3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3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3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3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3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3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3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3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3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3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3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3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3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3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3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3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3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3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3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3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3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3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3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3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3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3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3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3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3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3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3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3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3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3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3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3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3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3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3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3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3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3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3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3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3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3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3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3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3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3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3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3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3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3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3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3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3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3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3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3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3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3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3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3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3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3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3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3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3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3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3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3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3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3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3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3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3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3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3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3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3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3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3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3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3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3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3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3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3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3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3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3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3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3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3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3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3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3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3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3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3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3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3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3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3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3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3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3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3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3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3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3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3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3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3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3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3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3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3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3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3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3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3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3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3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3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3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3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3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3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3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3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3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3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3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3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3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3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3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3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3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3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3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3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3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3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3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3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3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3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3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3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3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3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3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3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3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3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3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3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3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3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3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3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3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3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3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3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3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3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3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3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3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3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3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3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3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3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3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3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3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3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3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3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3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3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3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3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3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3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3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3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3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3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3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3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3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3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3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3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3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3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3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3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3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3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3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3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3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3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3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3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3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3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3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3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3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3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3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3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3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3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3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3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3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3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3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3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3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3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3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3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3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3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3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3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3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3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3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3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3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3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3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3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3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3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3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3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3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3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3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3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3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3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3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3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3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3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3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3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3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3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3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3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3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3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3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3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3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3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3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3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3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3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3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3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3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3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3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3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3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3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3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3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3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3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3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3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3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3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3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3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3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3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3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3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3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3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3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3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3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3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3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3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3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3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3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3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3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3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3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3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3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3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3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3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3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3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3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3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3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3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3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3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3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3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3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3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3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3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3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3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3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3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3"/>
      <c r="C986" s="5"/>
      <c r="D986" s="5"/>
      <c r="E986" s="5"/>
      <c r="F986" s="5"/>
      <c r="G986" s="5"/>
      <c r="H986" s="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3"/>
      <c r="C987" s="5"/>
      <c r="D987" s="5"/>
      <c r="E987" s="5"/>
      <c r="F987" s="5"/>
      <c r="G987" s="5"/>
      <c r="H987" s="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3"/>
      <c r="C988" s="5"/>
      <c r="D988" s="5"/>
      <c r="E988" s="5"/>
      <c r="F988" s="5"/>
      <c r="G988" s="5"/>
      <c r="H988" s="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3"/>
      <c r="C989" s="5"/>
      <c r="D989" s="5"/>
      <c r="E989" s="5"/>
      <c r="F989" s="5"/>
      <c r="G989" s="5"/>
      <c r="H989" s="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3"/>
      <c r="C990" s="5"/>
      <c r="D990" s="5"/>
      <c r="E990" s="5"/>
      <c r="F990" s="5"/>
      <c r="G990" s="5"/>
      <c r="H990" s="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3"/>
      <c r="C991" s="5"/>
      <c r="D991" s="5"/>
      <c r="E991" s="5"/>
      <c r="F991" s="5"/>
      <c r="G991" s="5"/>
      <c r="H991" s="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3"/>
      <c r="C992" s="5"/>
      <c r="D992" s="5"/>
      <c r="E992" s="5"/>
      <c r="F992" s="5"/>
      <c r="G992" s="5"/>
      <c r="H992" s="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3"/>
      <c r="C993" s="5"/>
      <c r="D993" s="5"/>
      <c r="E993" s="5"/>
      <c r="F993" s="5"/>
      <c r="G993" s="5"/>
      <c r="H993" s="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3"/>
      <c r="C994" s="5"/>
      <c r="D994" s="5"/>
      <c r="E994" s="5"/>
      <c r="F994" s="5"/>
      <c r="G994" s="5"/>
      <c r="H994" s="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3"/>
      <c r="C995" s="5"/>
      <c r="D995" s="5"/>
      <c r="E995" s="5"/>
      <c r="F995" s="5"/>
      <c r="G995" s="5"/>
      <c r="H995" s="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3"/>
      <c r="C996" s="5"/>
      <c r="D996" s="5"/>
      <c r="E996" s="5"/>
      <c r="F996" s="5"/>
      <c r="G996" s="5"/>
      <c r="H996" s="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3"/>
      <c r="C997" s="5"/>
      <c r="D997" s="5"/>
      <c r="E997" s="5"/>
      <c r="F997" s="5"/>
      <c r="G997" s="5"/>
      <c r="H997" s="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3"/>
      <c r="C998" s="5"/>
      <c r="D998" s="5"/>
      <c r="E998" s="5"/>
      <c r="F998" s="5"/>
      <c r="G998" s="5"/>
      <c r="H998" s="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3"/>
      <c r="C999" s="5"/>
      <c r="D999" s="5"/>
      <c r="E999" s="5"/>
      <c r="F999" s="5"/>
      <c r="G999" s="5"/>
      <c r="H999" s="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3"/>
      <c r="C1000" s="5"/>
      <c r="D1000" s="5"/>
      <c r="E1000" s="5"/>
      <c r="F1000" s="5"/>
      <c r="G1000" s="5"/>
      <c r="H1000" s="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3"/>
      <c r="C1001" s="5"/>
      <c r="D1001" s="5"/>
      <c r="E1001" s="5"/>
      <c r="F1001" s="5"/>
      <c r="G1001" s="5"/>
      <c r="H1001" s="5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3"/>
      <c r="C1002" s="5"/>
      <c r="D1002" s="5"/>
      <c r="E1002" s="5"/>
      <c r="F1002" s="5"/>
      <c r="G1002" s="5"/>
      <c r="H1002" s="5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">
    <mergeCell ref="A2:H2"/>
    <mergeCell ref="C4:L4"/>
    <mergeCell ref="N4:P4"/>
    <mergeCell ref="P5:Q5"/>
    <mergeCell ref="N16:O16"/>
    <mergeCell ref="N23:O23"/>
    <mergeCell ref="M38:N38"/>
    <mergeCell ref="C140:D1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2"/>
    </row>
    <row r="3" ht="14.25" customHeight="1">
      <c r="H3" s="4"/>
    </row>
    <row r="4" ht="14.25" customHeight="1">
      <c r="C4" s="6" t="s">
        <v>0</v>
      </c>
      <c r="D4" s="7"/>
      <c r="E4" s="8"/>
    </row>
    <row r="5" ht="14.25" customHeight="1">
      <c r="A5" s="9"/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</row>
    <row r="6" ht="14.25" customHeight="1">
      <c r="A6" s="9"/>
      <c r="B6" s="14" t="s">
        <v>8</v>
      </c>
      <c r="C6" s="17" t="s">
        <v>9</v>
      </c>
      <c r="D6" s="18"/>
      <c r="E6" s="20">
        <v>0.3</v>
      </c>
      <c r="F6" s="24">
        <f>(C20*E6)+1300000</f>
        <v>1300000</v>
      </c>
      <c r="G6" s="24">
        <f t="shared" ref="G6:G7" si="1">F6/160</f>
        <v>8125</v>
      </c>
    </row>
    <row r="7" ht="14.25" customHeight="1">
      <c r="A7" s="9"/>
      <c r="B7" s="14" t="s">
        <v>13</v>
      </c>
      <c r="C7" s="17" t="s">
        <v>9</v>
      </c>
      <c r="D7" s="18"/>
      <c r="E7" s="20">
        <v>0.1</v>
      </c>
      <c r="F7" s="24">
        <f>(C22*E7)+1200000</f>
        <v>1200000</v>
      </c>
      <c r="G7" s="24">
        <f t="shared" si="1"/>
        <v>7500</v>
      </c>
    </row>
    <row r="8" ht="14.25" customHeight="1">
      <c r="A8" s="9"/>
      <c r="B8" s="14" t="s">
        <v>21</v>
      </c>
      <c r="C8" s="18"/>
      <c r="D8" s="18"/>
      <c r="E8" s="20">
        <v>0.1</v>
      </c>
      <c r="F8" s="31" t="s">
        <v>24</v>
      </c>
      <c r="G8" s="33" t="s">
        <v>26</v>
      </c>
    </row>
    <row r="9" ht="14.25" customHeight="1">
      <c r="A9" s="9"/>
      <c r="B9" s="14" t="s">
        <v>30</v>
      </c>
      <c r="C9" s="18" t="s">
        <v>9</v>
      </c>
      <c r="D9" s="18"/>
      <c r="E9" s="20">
        <v>0.2</v>
      </c>
      <c r="F9" s="36" t="s">
        <v>32</v>
      </c>
      <c r="G9" s="38" t="s">
        <v>34</v>
      </c>
    </row>
    <row r="10" ht="14.25" customHeight="1">
      <c r="A10" s="9"/>
      <c r="B10" s="14" t="s">
        <v>36</v>
      </c>
      <c r="C10" s="18" t="s">
        <v>9</v>
      </c>
      <c r="D10" s="18"/>
      <c r="E10" s="20">
        <v>0.1</v>
      </c>
      <c r="F10" s="36">
        <v>1000000.0</v>
      </c>
      <c r="G10" s="24">
        <f>F10/160</f>
        <v>6250</v>
      </c>
    </row>
    <row r="11" ht="14.25" customHeight="1">
      <c r="A11" s="9"/>
      <c r="B11" s="14" t="s">
        <v>37</v>
      </c>
      <c r="C11" s="18" t="s">
        <v>9</v>
      </c>
      <c r="D11" s="18"/>
      <c r="E11" s="20">
        <v>0.2</v>
      </c>
      <c r="F11" s="36">
        <v>1500000.0</v>
      </c>
      <c r="G11" s="38" t="s">
        <v>38</v>
      </c>
    </row>
    <row r="12" ht="14.25" customHeight="1"/>
    <row r="13" ht="14.25" customHeight="1"/>
    <row r="14" ht="14.25" customHeight="1">
      <c r="D14" s="47" t="s">
        <v>40</v>
      </c>
      <c r="E14" s="49">
        <v>40.0</v>
      </c>
    </row>
    <row r="15" ht="14.25" customHeight="1">
      <c r="D15" s="47" t="s">
        <v>42</v>
      </c>
      <c r="E15" s="47">
        <f>E14*4</f>
        <v>160</v>
      </c>
    </row>
    <row r="16" ht="14.25" customHeight="1">
      <c r="D16" s="47" t="s">
        <v>7</v>
      </c>
      <c r="E16" s="49" t="s">
        <v>44</v>
      </c>
    </row>
    <row r="17" ht="14.25" customHeight="1"/>
    <row r="18" ht="14.25" customHeight="1">
      <c r="A18" s="51"/>
      <c r="B18" s="51"/>
      <c r="C18" s="51"/>
      <c r="D18" s="51"/>
    </row>
    <row r="19" ht="14.25" customHeight="1">
      <c r="A19" s="52"/>
      <c r="B19" s="53"/>
      <c r="C19" s="53"/>
      <c r="D19" s="53"/>
    </row>
    <row r="20" ht="14.25" customHeight="1">
      <c r="A20" s="52"/>
      <c r="B20" s="53"/>
      <c r="C20" s="53"/>
      <c r="D20" s="53"/>
    </row>
    <row r="21" ht="14.25" customHeight="1"/>
    <row r="22" ht="14.25" customHeight="1"/>
    <row r="23" ht="14.25" customHeight="1">
      <c r="H23" s="4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16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