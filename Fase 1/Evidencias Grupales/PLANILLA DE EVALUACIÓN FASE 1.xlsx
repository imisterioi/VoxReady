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76" documentId="8_{2EFDF332-31E9-4C74-A6B5-E695634C1C45}" xr6:coauthVersionLast="47" xr6:coauthVersionMax="47" xr10:uidLastSave="{044FF251-1B0E-464A-8E24-0C03E3716EE5}"/>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<sst xmlns="http://schemas.openxmlformats.org/spreadsheetml/2006/main" count="157" uniqueCount="98">
  <si>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</si>
  <si>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</si>
  <si>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</si>
  <si>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MATELUNA JAVIERA</t>
  </si>
  <si>
    <t xml:space="preserve">GONZALEZ BASTIAN </t>
  </si>
  <si>
    <t>VASQUEZ BENJAMIN</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</si>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</sst>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7" sqref="B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32" t="s">
        <v>3</v>
      </c>
      <c r="C4" s="6">
        <f>EVALUACION1!$C$24</f>
        <v>6.4</v>
      </c>
      <c r="D4" s="6">
        <f>$C$35</f>
        <v>7</v>
      </c>
      <c r="E4" s="43">
        <f>C4*C$2+D4*D$2</f>
        <v>6.5500000000000007</v>
      </c>
      <c r="G4" s="1"/>
    </row>
    <row r="5" spans="1:11">
      <c r="A5" s="5">
        <v>2</v>
      </c>
      <c r="B5" s="32" t="s">
        <v>4</v>
      </c>
      <c r="C5" s="6">
        <f>EVALUACION1!$C$24</f>
        <v>6.4</v>
      </c>
      <c r="D5" s="6">
        <f>C47</f>
        <v>7</v>
      </c>
      <c r="E5" s="43">
        <f t="shared" ref="E5:E6" si="0">C5*C$2+D5*D$2</f>
        <v>6.5500000000000007</v>
      </c>
      <c r="G5" s="1"/>
    </row>
    <row r="6" spans="1:11">
      <c r="A6" s="5">
        <v>3</v>
      </c>
      <c r="B6" s="32" t="s">
        <v>5</v>
      </c>
      <c r="C6" s="6">
        <f>EVALUACION1!$C$24</f>
        <v>6.4</v>
      </c>
      <c r="D6" s="6">
        <f>C58</f>
        <v>7</v>
      </c>
      <c r="E6" s="43">
        <f t="shared" si="0"/>
        <v>6.5500000000000007</v>
      </c>
      <c r="G6" s="1"/>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5" t="str">
        <f>RUBRICA!A6</f>
        <v>2. Relaciona el Proyecto APT con las competencias del perfil de egreso de su Plan de Estudio.</v>
      </c>
      <c r="C14" s="33"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5" t="str">
        <f>RUBRICA!A8</f>
        <v xml:space="preserve">4.  Argumenta por qué el proyecto es factible de realizarse en el marco de la asignatura. </v>
      </c>
      <c r="C15" s="33"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5" t="str">
        <f>RUBRICA!A9</f>
        <v xml:space="preserve">5. Formula objetivos claros, concisos y coherentes con la disciplina y la situación a abordar. </v>
      </c>
      <c r="C16" s="33"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5" t="str">
        <f>RUBRICA!A12</f>
        <v>8. Determina evidencias, justificando cómo estas dan cuenta del logro de las actividades del Proyecto APT.</v>
      </c>
      <c r="C19" s="33" t="s">
        <v>14</v>
      </c>
      <c r="D19" s="16" t="str">
        <f t="shared" si="12"/>
        <v/>
      </c>
      <c r="E19" s="16" t="str">
        <f>IF(D19="X",100*0.05,"")</f>
        <v/>
      </c>
      <c r="F19" s="16" t="str">
        <f t="shared" si="14"/>
        <v/>
      </c>
      <c r="G19" s="16" t="str">
        <f t="shared" ref="G19" si="23">IF(F19="X",60*0.05,"")</f>
        <v/>
      </c>
      <c r="H19" s="16" t="str">
        <f t="shared" si="16"/>
        <v>X</v>
      </c>
      <c r="I19" s="16">
        <f t="shared" ref="I19" si="24">IF(H19="X",30*0.05,"")</f>
        <v>1.5</v>
      </c>
      <c r="J19" s="16" t="str">
        <f t="shared" si="18"/>
        <v/>
      </c>
      <c r="K19" s="16" t="str">
        <f t="shared" si="19"/>
        <v/>
      </c>
    </row>
    <row r="20" spans="1:11" ht="24" outlineLevel="1">
      <c r="A20" s="72"/>
      <c r="B20" s="35" t="str">
        <f>RUBRICA!A13</f>
        <v xml:space="preserve">9. Utiliza reglas de redacción, ortografía (literal, puntual, acentual) y las normas para citas y referencias. </v>
      </c>
      <c r="C20" s="33"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5" t="str">
        <f>RUBRICA!A14</f>
        <v>10. Cumple completando el contenido del informe de presentación del proyecto de acuerdo con la plantilla entregada.</v>
      </c>
      <c r="C21" s="33" t="s">
        <v>10</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5" t="str">
        <f>RUBRICA!A16</f>
        <v>12. Desarrolla un plan de trabajo que permita del logro de los objetivos propuestos del proyecto de 
acuerdo a los tiempos para su desarrollo</v>
      </c>
      <c r="C22" s="33"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4" t="s">
        <v>15</v>
      </c>
      <c r="C23" s="37">
        <f>E23+G23+I23+K23</f>
        <v>64.5</v>
      </c>
      <c r="D23" s="19"/>
      <c r="E23" s="19">
        <f>SUM(E13:E22)</f>
        <v>60</v>
      </c>
      <c r="F23" s="19"/>
      <c r="G23" s="19">
        <f>SUM(G13:G22)</f>
        <v>3</v>
      </c>
      <c r="H23" s="19"/>
      <c r="I23" s="19">
        <f>SUM(I13:I22)</f>
        <v>1.5</v>
      </c>
      <c r="J23" s="19"/>
      <c r="K23" s="19">
        <f>SUM(K13:K22)</f>
        <v>0</v>
      </c>
    </row>
    <row r="24" spans="1:11" ht="15.75" customHeight="1" outlineLevel="1">
      <c r="A24" s="68"/>
      <c r="B24" s="36" t="s">
        <v>16</v>
      </c>
      <c r="C24" s="20">
        <f>VLOOKUP(C23,ESCALA_IEP!A2:B142,2,FALSE)</f>
        <v>6.4</v>
      </c>
    </row>
    <row r="25" spans="1:11" ht="15.75" customHeight="1"/>
    <row r="26" spans="1:11" ht="15.75" customHeight="1"/>
    <row r="27" spans="1:11" ht="15.75" customHeight="1">
      <c r="A27" s="53" t="s">
        <v>17</v>
      </c>
      <c r="B27" s="49" t="s">
        <v>18</v>
      </c>
      <c r="C27" s="50" t="str">
        <f>$B$4</f>
        <v>MATELUNA JAVIERA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5" t="str">
        <f>RUBRICA!A15</f>
        <v>11. Expone el tema utilizando un lenguaje técnico disciplinar al presentar la propuesta y responde evidenciando un manejo de la información. *</v>
      </c>
      <c r="C32" s="33"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16</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17</v>
      </c>
      <c r="B39" s="49" t="s">
        <v>18</v>
      </c>
      <c r="C39" s="50" t="str">
        <f>B5</f>
        <v xml:space="preserve">GONZALEZ BASTIAN </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5" t="str">
        <f>RUBRICA!A15</f>
        <v>11. Expone el tema utilizando un lenguaje técnico disciplinar al presentar la propuesta y responde evidenciando un manejo de la información. *</v>
      </c>
      <c r="C44" s="33"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16</v>
      </c>
      <c r="C47" s="20">
        <f>VLOOKUP(C46,ESCALA_TRAB_EQUIP!A2:B62,2,FALSE)</f>
        <v>7</v>
      </c>
    </row>
    <row r="48" spans="1:11" ht="15.75" customHeight="1">
      <c r="B48" s="22"/>
      <c r="C48" s="23"/>
    </row>
    <row r="49" spans="1:11" ht="15.75" customHeight="1">
      <c r="B49" s="22"/>
      <c r="C49" s="23"/>
    </row>
    <row r="50" spans="1:11" ht="15.75" customHeight="1">
      <c r="A50" s="53" t="s">
        <v>17</v>
      </c>
      <c r="B50" s="49" t="s">
        <v>18</v>
      </c>
      <c r="C50" s="50" t="str">
        <f>B6</f>
        <v>VASQUEZ BENJAMIN</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5" t="str">
        <f>RUBRICA!A15</f>
        <v>11. Expone el tema utilizando un lenguaje técnico disciplinar al presentar la propuesta y responde evidenciando un manejo de la información. *</v>
      </c>
      <c r="C55" s="33"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16</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77.25" thickBot="1">
      <c r="A5" s="38" t="s">
        <v>28</v>
      </c>
      <c r="B5" s="39" t="s">
        <v>29</v>
      </c>
      <c r="C5" s="39" t="s">
        <v>30</v>
      </c>
      <c r="D5" s="39" t="s">
        <v>31</v>
      </c>
      <c r="E5" s="39" t="s">
        <v>32</v>
      </c>
      <c r="F5" s="28">
        <v>10</v>
      </c>
    </row>
    <row r="6" spans="1:6" ht="77.2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76.5">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4.5" thickBot="1">
      <c r="A10" s="38" t="s">
        <v>53</v>
      </c>
      <c r="B10" s="39" t="s">
        <v>54</v>
      </c>
      <c r="C10" s="39" t="s">
        <v>55</v>
      </c>
      <c r="D10" s="39" t="s">
        <v>56</v>
      </c>
      <c r="E10" s="39" t="s">
        <v>57</v>
      </c>
      <c r="F10" s="28">
        <v>10</v>
      </c>
    </row>
    <row r="11" spans="1:6" ht="76.5">
      <c r="A11" s="45" t="s">
        <v>58</v>
      </c>
      <c r="B11" s="45" t="s">
        <v>59</v>
      </c>
      <c r="C11" s="45" t="s">
        <v>60</v>
      </c>
      <c r="D11" s="45" t="s">
        <v>61</v>
      </c>
      <c r="E11" s="45" t="s">
        <v>62</v>
      </c>
      <c r="F11" s="30">
        <v>10</v>
      </c>
    </row>
    <row r="12" spans="1:6" ht="51">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3.75">
      <c r="A14" s="42" t="s">
        <v>73</v>
      </c>
      <c r="B14" s="42" t="s">
        <v>74</v>
      </c>
      <c r="C14" s="42" t="s">
        <v>75</v>
      </c>
      <c r="D14" s="42" t="s">
        <v>76</v>
      </c>
      <c r="E14" s="42" t="s">
        <v>77</v>
      </c>
      <c r="F14" s="41">
        <v>5</v>
      </c>
    </row>
    <row r="15" spans="1:6" ht="64.5" thickBot="1">
      <c r="A15" s="38" t="s">
        <v>78</v>
      </c>
      <c r="B15" s="39" t="s">
        <v>79</v>
      </c>
      <c r="C15" s="39" t="s">
        <v>80</v>
      </c>
      <c r="D15" s="39" t="s">
        <v>81</v>
      </c>
      <c r="E15" s="39" t="s">
        <v>82</v>
      </c>
      <c r="F15" s="28">
        <v>10</v>
      </c>
    </row>
    <row r="16" spans="1:6" ht="77.25" thickBot="1">
      <c r="A16" s="38" t="s">
        <v>83</v>
      </c>
      <c r="B16" s="39" t="s">
        <v>84</v>
      </c>
      <c r="C16" s="39" t="s">
        <v>85</v>
      </c>
      <c r="D16" s="39" t="s">
        <v>86</v>
      </c>
      <c r="E16" s="39" t="s">
        <v>87</v>
      </c>
      <c r="F16" s="28">
        <v>10</v>
      </c>
    </row>
    <row r="17" spans="1:6" ht="90" thickBot="1">
      <c r="A17" s="38" t="s">
        <v>88</v>
      </c>
      <c r="B17" s="39" t="s">
        <v>89</v>
      </c>
      <c r="C17" s="39" t="s">
        <v>90</v>
      </c>
      <c r="D17" s="39" t="s">
        <v>91</v>
      </c>
      <c r="E17" s="39" t="s">
        <v>92</v>
      </c>
      <c r="F17" s="28">
        <v>10</v>
      </c>
    </row>
    <row r="18" spans="1:6" ht="15.7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4">
        <v>1</v>
      </c>
    </row>
    <row r="3" spans="1:2">
      <c r="A3">
        <v>0.5</v>
      </c>
      <c r="B3" s="44">
        <v>1</v>
      </c>
    </row>
    <row r="4" spans="1:2">
      <c r="A4">
        <v>1</v>
      </c>
      <c r="B4" s="44">
        <v>1.1000000000000001</v>
      </c>
    </row>
    <row r="5" spans="1:2">
      <c r="A5">
        <v>1.5</v>
      </c>
      <c r="B5" s="44">
        <v>1.1000000000000001</v>
      </c>
    </row>
    <row r="6" spans="1:2">
      <c r="A6">
        <v>2</v>
      </c>
      <c r="B6" s="44">
        <v>1.1000000000000001</v>
      </c>
    </row>
    <row r="7" spans="1:2">
      <c r="A7">
        <v>2.5</v>
      </c>
      <c r="B7" s="44">
        <v>1.2</v>
      </c>
    </row>
    <row r="8" spans="1:2">
      <c r="A8">
        <v>3</v>
      </c>
      <c r="B8" s="44">
        <v>1.2</v>
      </c>
    </row>
    <row r="9" spans="1:2">
      <c r="A9">
        <v>3.5</v>
      </c>
      <c r="B9" s="44">
        <v>1.3</v>
      </c>
    </row>
    <row r="10" spans="1:2">
      <c r="A10">
        <v>4</v>
      </c>
      <c r="B10" s="44">
        <v>1.3</v>
      </c>
    </row>
    <row r="11" spans="1:2">
      <c r="A11">
        <v>4.5</v>
      </c>
      <c r="B11" s="44">
        <v>1.3</v>
      </c>
    </row>
    <row r="12" spans="1:2">
      <c r="A12">
        <v>5</v>
      </c>
      <c r="B12" s="44">
        <v>1.4</v>
      </c>
    </row>
    <row r="13" spans="1:2">
      <c r="A13">
        <v>5.5</v>
      </c>
      <c r="B13" s="44">
        <v>1.4</v>
      </c>
    </row>
    <row r="14" spans="1:2">
      <c r="A14">
        <v>6</v>
      </c>
      <c r="B14" s="44">
        <v>1.4</v>
      </c>
    </row>
    <row r="15" spans="1:2">
      <c r="A15">
        <v>6.5</v>
      </c>
      <c r="B15" s="44">
        <v>1.5</v>
      </c>
    </row>
    <row r="16" spans="1:2">
      <c r="A16">
        <v>7</v>
      </c>
      <c r="B16" s="44">
        <v>1.5</v>
      </c>
    </row>
    <row r="17" spans="1:2">
      <c r="A17">
        <v>7.5</v>
      </c>
      <c r="B17" s="44">
        <v>1.5</v>
      </c>
    </row>
    <row r="18" spans="1:2">
      <c r="A18">
        <v>8</v>
      </c>
      <c r="B18" s="44">
        <v>1.6</v>
      </c>
    </row>
    <row r="19" spans="1:2">
      <c r="A19">
        <v>8.5</v>
      </c>
      <c r="B19" s="44">
        <v>1.6</v>
      </c>
    </row>
    <row r="20" spans="1:2">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4">
        <v>1</v>
      </c>
    </row>
    <row r="3" spans="1:2">
      <c r="A3">
        <v>0.5</v>
      </c>
      <c r="B3" s="44">
        <v>1.1000000000000001</v>
      </c>
    </row>
    <row r="4" spans="1:2">
      <c r="A4">
        <v>1</v>
      </c>
      <c r="B4" s="44">
        <v>1.2</v>
      </c>
    </row>
    <row r="5" spans="1:2">
      <c r="A5">
        <v>1.5</v>
      </c>
      <c r="B5" s="44">
        <v>1.3</v>
      </c>
    </row>
    <row r="6" spans="1:2">
      <c r="A6">
        <v>2</v>
      </c>
      <c r="B6" s="44">
        <v>1.3</v>
      </c>
    </row>
    <row r="7" spans="1:2">
      <c r="A7">
        <v>2.5</v>
      </c>
      <c r="B7" s="44">
        <v>1.4</v>
      </c>
    </row>
    <row r="8" spans="1:2">
      <c r="A8">
        <v>3</v>
      </c>
      <c r="B8" s="44">
        <v>1.5</v>
      </c>
    </row>
    <row r="9" spans="1:2">
      <c r="A9">
        <v>3.5</v>
      </c>
      <c r="B9" s="44">
        <v>1.6</v>
      </c>
    </row>
    <row r="10" spans="1:2">
      <c r="A10">
        <v>4</v>
      </c>
      <c r="B10" s="44">
        <v>1.7</v>
      </c>
    </row>
    <row r="11" spans="1:2">
      <c r="A11">
        <v>4.5</v>
      </c>
      <c r="B11" s="44">
        <v>1.8</v>
      </c>
    </row>
    <row r="12" spans="1:2">
      <c r="A12">
        <v>5</v>
      </c>
      <c r="B12" s="44">
        <v>1.8</v>
      </c>
    </row>
    <row r="13" spans="1:2">
      <c r="A13">
        <v>5.5</v>
      </c>
      <c r="B13" s="44">
        <v>1.9</v>
      </c>
    </row>
    <row r="14" spans="1:2">
      <c r="A14">
        <v>6</v>
      </c>
      <c r="B14" s="44">
        <v>2</v>
      </c>
    </row>
    <row r="15" spans="1:2">
      <c r="A15">
        <v>6.5</v>
      </c>
      <c r="B15" s="44">
        <v>2.1</v>
      </c>
    </row>
    <row r="16" spans="1:2">
      <c r="A16">
        <v>7</v>
      </c>
      <c r="B16" s="44">
        <v>2.2000000000000002</v>
      </c>
    </row>
    <row r="17" spans="1:2">
      <c r="A17">
        <v>7.5</v>
      </c>
      <c r="B17" s="44">
        <v>2.2999999999999998</v>
      </c>
    </row>
    <row r="18" spans="1:2">
      <c r="A18">
        <v>8</v>
      </c>
      <c r="B18" s="44">
        <v>2.2999999999999998</v>
      </c>
    </row>
    <row r="19" spans="1:2">
      <c r="A19">
        <v>8.5</v>
      </c>
      <c r="B19" s="44">
        <v>2.4</v>
      </c>
    </row>
    <row r="20" spans="1:2">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96</v>
      </c>
      <c r="B1" s="7" t="s">
        <v>15</v>
      </c>
      <c r="C1" s="8"/>
      <c r="D1" s="8"/>
      <c r="E1" s="9"/>
    </row>
    <row r="2" spans="1:5" ht="45.75" thickBot="1">
      <c r="A2" s="78"/>
      <c r="B2" s="10" t="s">
        <v>10</v>
      </c>
      <c r="C2" s="11" t="s">
        <v>11</v>
      </c>
      <c r="D2" s="11" t="s">
        <v>14</v>
      </c>
      <c r="E2" s="48"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2026-09-09T17:25:07Z</dcterms:modified>
  <cp:category/>
  <cp:contentStatus/>
</cp:coreProperties>
</file>